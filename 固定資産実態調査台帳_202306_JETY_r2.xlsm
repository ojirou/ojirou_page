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3204" windowWidth="15504" windowHeight="5640" tabRatio="619"/>
  </bookViews>
  <sheets>
    <sheet name="調査台帳" sheetId="28" r:id="rId1"/>
    <sheet name="まとめ表" sheetId="7" r:id="rId2"/>
    <sheet name="転売資産明細" sheetId="11" r:id="rId3"/>
    <sheet name="設置場所" sheetId="36" r:id="rId4"/>
    <sheet name="小細分類・事業部マスタ" sheetId="32" state="hidden" r:id="rId5"/>
    <sheet name="判定一覧" sheetId="35" state="hidden" r:id="rId6"/>
    <sheet name="小分類・セグメント" sheetId="30" state="hidden" r:id="rId7"/>
  </sheets>
  <definedNames>
    <definedName name="___61PNO2ALL" localSheetId="6">#REF!</definedName>
    <definedName name="___61PNO2Q" localSheetId="6">#REF!</definedName>
    <definedName name="___A65537" localSheetId="6">#REF!</definedName>
    <definedName name="___G20000" localSheetId="6">#REF!</definedName>
    <definedName name="___MA8" localSheetId="6">#REF!</definedName>
    <definedName name="_0期内販計画" localSheetId="6">#REF!</definedName>
    <definedName name="_0合計" localSheetId="6">#REF!</definedName>
    <definedName name="_11H" localSheetId="6">#REF!</definedName>
    <definedName name="_Fill" hidden="1">#REF!</definedName>
    <definedName name="_xlnm._FilterDatabase" localSheetId="4" hidden="1">小細分類・事業部マスタ!$A$3:$H$585</definedName>
    <definedName name="_Key1" localSheetId="4" hidden="1">#REF!</definedName>
    <definedName name="_Key1" localSheetId="6" hidden="1">#REF!</definedName>
    <definedName name="_Key1" localSheetId="0" hidden="1">#REF!</definedName>
    <definedName name="_Key1" hidden="1">#REF!</definedName>
    <definedName name="_Key2" localSheetId="4" hidden="1">#REF!</definedName>
    <definedName name="_Key2" localSheetId="6" hidden="1">#REF!</definedName>
    <definedName name="_Key2" localSheetId="0" hidden="1">#REF!</definedName>
    <definedName name="_Key2" hidden="1">#REF!</definedName>
    <definedName name="_MA8" localSheetId="6">#REF!</definedName>
    <definedName name="_Order1" hidden="1">1</definedName>
    <definedName name="_Order2" hidden="1">255</definedName>
    <definedName name="_Sort" localSheetId="4" hidden="1">#REF!</definedName>
    <definedName name="_Sort" localSheetId="6" hidden="1">#REF!</definedName>
    <definedName name="_Sort" localSheetId="0" hidden="1">#REF!</definedName>
    <definedName name="_Sort" hidden="1">#REF!</definedName>
    <definedName name="\a" localSheetId="6">#REF!</definedName>
    <definedName name="a" localSheetId="6">#REF!</definedName>
    <definedName name="AITEMU" localSheetId="6">#REF!</definedName>
    <definedName name="anscount" hidden="1">2</definedName>
    <definedName name="b" localSheetId="6">#REF!,#REF!,#REF!</definedName>
    <definedName name="B5ｋ６" localSheetId="6">#REF!</definedName>
    <definedName name="B5倠俇" localSheetId="6">#REF!</definedName>
    <definedName name="BBBBB" localSheetId="6">#REF!</definedName>
    <definedName name="BU" localSheetId="6">#REF!</definedName>
    <definedName name="CORE_OUT" localSheetId="6">#REF!</definedName>
    <definedName name="D" localSheetId="6">#REF!</definedName>
    <definedName name="DALIST" localSheetId="6">#REF!</definedName>
    <definedName name="data1" hidden="1">#REF!</definedName>
    <definedName name="data10" localSheetId="6">#REF!,#REF!,#REF!</definedName>
    <definedName name="data2" hidden="1">#REF!</definedName>
    <definedName name="data4" localSheetId="6">#REF!,#REF!,#REF!</definedName>
    <definedName name="data5" hidden="1">#REF!</definedName>
    <definedName name="data7" localSheetId="6">#REF!,#REF!,#REF!</definedName>
    <definedName name="data8" hidden="1">#REF!</definedName>
    <definedName name="_xlnm.Database" localSheetId="6">#REF!</definedName>
    <definedName name="dda" localSheetId="6">#REF!</definedName>
    <definedName name="DENNATU" localSheetId="6">#REF!</definedName>
    <definedName name="DENNATUSITEI" localSheetId="6">#REF!</definedName>
    <definedName name="doller" localSheetId="6">#REF!</definedName>
    <definedName name="f" localSheetId="6">#REF!</definedName>
    <definedName name="Format" localSheetId="6">#REF!</definedName>
    <definedName name="GENNKA" localSheetId="6">#REF!</definedName>
    <definedName name="GENNKATANKA" localSheetId="6">#REF!</definedName>
    <definedName name="hallp" localSheetId="6">#REF!</definedName>
    <definedName name="Header" localSheetId="6">#REF!</definedName>
    <definedName name="JTY_OUT" localSheetId="6">#REF!</definedName>
    <definedName name="ＪＴＹ売上" localSheetId="6">#REF!</definedName>
    <definedName name="JYOUKENNRISUTO" localSheetId="6">#REF!</definedName>
    <definedName name="kei" localSheetId="6">#REF!,#REF!,#REF!</definedName>
    <definedName name="KTY" localSheetId="6">#REF!</definedName>
    <definedName name="Label1" localSheetId="6">#REF!</definedName>
    <definedName name="LEX損益" localSheetId="6">#REF!</definedName>
    <definedName name="limcount" hidden="1">2</definedName>
    <definedName name="ll" localSheetId="6">#REF!</definedName>
    <definedName name="LOTSIZE" localSheetId="6">#REF!</definedName>
    <definedName name="LT" localSheetId="6">#REF!</definedName>
    <definedName name="NYUURYOKUHANNI" localSheetId="6">#REF!,#REF!,#REF!</definedName>
    <definedName name="OK" hidden="1">#REF!</definedName>
    <definedName name="peso" localSheetId="6">#REF!</definedName>
    <definedName name="PRE_BM" localSheetId="6">#REF!</definedName>
    <definedName name="_xlnm.Print_Area" localSheetId="1">まとめ表!$A$1:$M$56</definedName>
    <definedName name="_xlnm.Print_Area" localSheetId="0">調査台帳!$A$1:$AR$249</definedName>
    <definedName name="_xlnm.Print_Titles" localSheetId="0">調査台帳!$2:$3</definedName>
    <definedName name="_xlnm.Print_Titles" localSheetId="2">転売資産明細!$3:$3</definedName>
    <definedName name="PTY_OUT" localSheetId="6">#REF!</definedName>
    <definedName name="Ｐ原材料単価" localSheetId="6">#REF!</definedName>
    <definedName name="Ｐ租税公課" localSheetId="6">#REF!</definedName>
    <definedName name="que今村確認" localSheetId="6">#REF!</definedName>
    <definedName name="RawData" localSheetId="6">#REF!</definedName>
    <definedName name="RE" localSheetId="6">#REF!</definedName>
    <definedName name="sencount" hidden="1">2</definedName>
    <definedName name="SRA__040F3K" localSheetId="6">#REF!</definedName>
    <definedName name="SRGAK" localSheetId="6">#REF!</definedName>
    <definedName name="STD200H" localSheetId="6">#REF!</definedName>
    <definedName name="STD50H" localSheetId="6">#REF!</definedName>
    <definedName name="t" localSheetId="6">#REF!</definedName>
    <definedName name="TE" localSheetId="6">#REF!,#REF!,#REF!</definedName>
    <definedName name="TOTAL_1" localSheetId="6">#REF!</definedName>
    <definedName name="TOTAL_2" localSheetId="6">#REF!</definedName>
    <definedName name="w" localSheetId="6">#REF!</definedName>
    <definedName name="あ" localSheetId="6">#REF!,#REF!,#REF!</definedName>
    <definedName name="あ1" localSheetId="6">#REF!</definedName>
    <definedName name="あ2" localSheetId="6">#REF!</definedName>
    <definedName name="アイテム" localSheetId="6">#REF!</definedName>
    <definedName name="い" localSheetId="6">#REF!,#REF!,#REF!</definedName>
    <definedName name="インプット範囲" localSheetId="6">#REF!,#REF!,#REF!</definedName>
    <definedName name="エリア売上" localSheetId="6">#REF!</definedName>
    <definedName name="クエリ6" localSheetId="6">#REF!</definedName>
    <definedName name="クエリー2" localSheetId="6">#REF!</definedName>
    <definedName name="クエリー３" localSheetId="6">#REF!</definedName>
    <definedName name="サヤ詰" localSheetId="6">#REF!</definedName>
    <definedName name="サヤ空１" localSheetId="6">#REF!</definedName>
    <definedName name="サヤ空２" localSheetId="6">#REF!</definedName>
    <definedName name="データ" hidden="1">#REF!</definedName>
    <definedName name="データー" hidden="1">#REF!</definedName>
    <definedName name="ﾊﾟｯﾄ200C" localSheetId="6">#REF!</definedName>
    <definedName name="バレル２" localSheetId="6">#REF!</definedName>
    <definedName name="フィルターDatabese" hidden="1">#REF!</definedName>
    <definedName name="フィルターデータベース" hidden="1">#REF!</definedName>
    <definedName name="ﾌﾞｯｸﾚｯﾄIM5B" localSheetId="6">#REF!</definedName>
    <definedName name="ﾌﾞｯｸﾚｯﾄIM5P" localSheetId="6">#REF!</definedName>
    <definedName name="ﾌﾞｯｸﾚｯﾄS5SY" localSheetId="6">#REF!</definedName>
    <definedName name="ﾘｽﾄ" localSheetId="6">#REF!</definedName>
    <definedName name="ﾘｽﾄ2" localSheetId="6">#REF!</definedName>
    <definedName name="印刷" localSheetId="6">#REF!</definedName>
    <definedName name="回数" localSheetId="6">#REF!</definedName>
    <definedName name="改善ｽｹｼﾞｭｰﾙ" localSheetId="6">#REF!,#REF!,#REF!</definedName>
    <definedName name="外注費" localSheetId="6">#REF!</definedName>
    <definedName name="外箱IM200M" localSheetId="6">#REF!</definedName>
    <definedName name="外販売上" localSheetId="6">#REF!</definedName>
    <definedName name="完了在庫" localSheetId="6">#REF!</definedName>
    <definedName name="間接部門費" localSheetId="6">#REF!</definedName>
    <definedName name="基ﾃﾞｰﾀ" localSheetId="6">#REF!,#REF!,#REF!</definedName>
    <definedName name="拠点名">判定一覧!$A$3:$A$42</definedName>
    <definedName name="区分" localSheetId="6">#REF!</definedName>
    <definedName name="月展" localSheetId="6">#REF!</definedName>
    <definedName name="月別実績原価" localSheetId="6">#REF!</definedName>
    <definedName name="月別実績原価商品別" localSheetId="6">#REF!</definedName>
    <definedName name="減価償却費" localSheetId="6">#REF!</definedName>
    <definedName name="固定資産管理台帳" localSheetId="6">#REF!</definedName>
    <definedName name="固定资产清单" localSheetId="6">#REF!</definedName>
    <definedName name="合い上尾" hidden="1">#REF!</definedName>
    <definedName name="黒" localSheetId="6">#REF!</definedName>
    <definedName name="差" localSheetId="6">#REF!,#REF!,#REF!</definedName>
    <definedName name="差異分析②" localSheetId="6">#REF!,#REF!,#REF!</definedName>
    <definedName name="在庫一覧表ＥＸＣＥＬテーブル" localSheetId="6">#REF!</definedName>
    <definedName name="材料費" localSheetId="6">#REF!</definedName>
    <definedName name="作業者" localSheetId="6">#REF!</definedName>
    <definedName name="出荷数" localSheetId="6">#REF!</definedName>
    <definedName name="商品別62下" localSheetId="6">#REF!</definedName>
    <definedName name="昇給考課順" localSheetId="6">#REF!</definedName>
    <definedName name="条件リスト" localSheetId="6">#REF!</definedName>
    <definedName name="新ﾊﾞﾙｸＮ" localSheetId="6">#REF!</definedName>
    <definedName name="新ﾊﾞﾙｸ黒" localSheetId="6">#REF!</definedName>
    <definedName name="成形集計" localSheetId="6">#REF!</definedName>
    <definedName name="生産計画" localSheetId="6">#REF!</definedName>
    <definedName name="設備２Ｇ" localSheetId="6">#REF!,#REF!,#REF!</definedName>
    <definedName name="設備計画" localSheetId="6">#REF!</definedName>
    <definedName name="設備検収・投資" localSheetId="6">#REF!</definedName>
    <definedName name="設備能力設定" localSheetId="6">#REF!</definedName>
    <definedName name="脱バイ" localSheetId="6">#REF!</definedName>
    <definedName name="単価" localSheetId="6">#REF!</definedName>
    <definedName name="電圧" localSheetId="6">#REF!</definedName>
    <definedName name="電圧指定" localSheetId="6">#REF!</definedName>
    <definedName name="投資効果" localSheetId="6">#REF!,#REF!,#REF!</definedName>
    <definedName name="内販売上" localSheetId="6">#REF!</definedName>
    <definedName name="入力範囲" localSheetId="6">#REF!,#REF!,#REF!</definedName>
    <definedName name="白" localSheetId="6">#REF!</definedName>
    <definedName name="販社別62下" localSheetId="6">#REF!</definedName>
    <definedName name="比較" localSheetId="6">#REF!</definedName>
    <definedName name="表１" localSheetId="6">#REF!</definedName>
    <definedName name="表２" localSheetId="6">#REF!</definedName>
    <definedName name="物性印刷範囲" localSheetId="6">#REF!</definedName>
    <definedName name="返済回数" localSheetId="6">#REF!</definedName>
    <definedName name="役員用" localSheetId="6">#REF!</definedName>
    <definedName name="要変更" localSheetId="6">#REF!,#REF!,#REF!,#REF!,#REF!,#REF!</definedName>
    <definedName name="利益" localSheetId="6">#REF!</definedName>
    <definedName name="利率" localSheetId="6">#REF!</definedName>
    <definedName name="利率2" localSheetId="6">#REF!</definedName>
  </definedNames>
  <calcPr calcId="145621"/>
</workbook>
</file>

<file path=xl/calcChain.xml><?xml version="1.0" encoding="utf-8"?>
<calcChain xmlns="http://schemas.openxmlformats.org/spreadsheetml/2006/main">
  <c r="F30" i="7" l="1"/>
  <c r="L30" i="7"/>
  <c r="C30" i="7"/>
  <c r="C9" i="7"/>
  <c r="C10" i="7"/>
  <c r="C11" i="7"/>
  <c r="C12" i="7"/>
  <c r="C13" i="7"/>
  <c r="C14" i="7"/>
  <c r="C15" i="7"/>
  <c r="C16" i="7"/>
  <c r="C17" i="7"/>
  <c r="C8" i="7"/>
  <c r="C18" i="7" l="1"/>
  <c r="H56" i="7"/>
  <c r="G56" i="7"/>
  <c r="F56" i="7"/>
  <c r="E56" i="7"/>
  <c r="D56" i="7"/>
  <c r="C56" i="7"/>
  <c r="H55" i="7"/>
  <c r="H54" i="7"/>
  <c r="H53" i="7"/>
  <c r="H52" i="7"/>
  <c r="H51" i="7"/>
  <c r="H50" i="7"/>
  <c r="H49" i="7"/>
  <c r="C43" i="7"/>
  <c r="C42" i="7"/>
  <c r="C41" i="7"/>
  <c r="C40" i="7"/>
  <c r="C39" i="7"/>
  <c r="C38" i="7"/>
  <c r="C37" i="7"/>
  <c r="C44" i="7" s="1"/>
  <c r="L33" i="7"/>
  <c r="K33" i="7"/>
  <c r="J33" i="7"/>
  <c r="I33" i="7"/>
  <c r="H33" i="7"/>
  <c r="G33" i="7"/>
  <c r="F33" i="7"/>
  <c r="E33" i="7"/>
  <c r="D33" i="7"/>
  <c r="C33" i="7"/>
  <c r="M32" i="7"/>
  <c r="M31" i="7"/>
  <c r="M30" i="7"/>
  <c r="M29" i="7"/>
  <c r="M28" i="7"/>
  <c r="M27" i="7"/>
  <c r="M26" i="7"/>
  <c r="AI249" i="28"/>
  <c r="AG249" i="28"/>
  <c r="AF249" i="28"/>
  <c r="AI248" i="28"/>
  <c r="AG248" i="28"/>
  <c r="AF248" i="28"/>
  <c r="AI247" i="28"/>
  <c r="AG247" i="28"/>
  <c r="AF247" i="28"/>
  <c r="AI246" i="28"/>
  <c r="AG246" i="28"/>
  <c r="AF246" i="28"/>
  <c r="AI245" i="28"/>
  <c r="AG245" i="28"/>
  <c r="AF245" i="28"/>
  <c r="AI244" i="28"/>
  <c r="AG244" i="28"/>
  <c r="AF244" i="28"/>
  <c r="AI243" i="28"/>
  <c r="AG243" i="28"/>
  <c r="AF243" i="28"/>
  <c r="AI242" i="28"/>
  <c r="AG242" i="28"/>
  <c r="AF242" i="28"/>
  <c r="AI241" i="28"/>
  <c r="AG241" i="28"/>
  <c r="AF241" i="28"/>
  <c r="AI240" i="28"/>
  <c r="AG240" i="28"/>
  <c r="AF240" i="28"/>
  <c r="AI239" i="28"/>
  <c r="AG239" i="28"/>
  <c r="AF239" i="28"/>
  <c r="AI238" i="28"/>
  <c r="AG238" i="28"/>
  <c r="AF238" i="28"/>
  <c r="AI237" i="28"/>
  <c r="AG237" i="28"/>
  <c r="AF237" i="28"/>
  <c r="AI236" i="28"/>
  <c r="AG236" i="28"/>
  <c r="AF236" i="28"/>
  <c r="AI235" i="28"/>
  <c r="AG235" i="28"/>
  <c r="AF235" i="28"/>
  <c r="AI234" i="28"/>
  <c r="AG234" i="28"/>
  <c r="AF234" i="28"/>
  <c r="AI233" i="28"/>
  <c r="AG233" i="28"/>
  <c r="AF233" i="28"/>
  <c r="AI232" i="28"/>
  <c r="AG232" i="28"/>
  <c r="AF232" i="28"/>
  <c r="AI231" i="28"/>
  <c r="AG231" i="28"/>
  <c r="AF231" i="28"/>
  <c r="AI230" i="28"/>
  <c r="AG230" i="28"/>
  <c r="AF230" i="28"/>
  <c r="AI229" i="28"/>
  <c r="AG229" i="28"/>
  <c r="AF229" i="28"/>
  <c r="AI228" i="28"/>
  <c r="AG228" i="28"/>
  <c r="AF228" i="28"/>
  <c r="AI227" i="28"/>
  <c r="AG227" i="28"/>
  <c r="AF227" i="28"/>
  <c r="AI226" i="28"/>
  <c r="AG226" i="28"/>
  <c r="AF226" i="28"/>
  <c r="AI225" i="28"/>
  <c r="AG225" i="28"/>
  <c r="AF225" i="28"/>
  <c r="AI224" i="28"/>
  <c r="AG224" i="28"/>
  <c r="AF224" i="28"/>
  <c r="AI223" i="28"/>
  <c r="AG223" i="28"/>
  <c r="AF223" i="28"/>
  <c r="AI222" i="28"/>
  <c r="AG222" i="28"/>
  <c r="AF222" i="28"/>
  <c r="AI221" i="28"/>
  <c r="AG221" i="28"/>
  <c r="AF221" i="28"/>
  <c r="AI220" i="28"/>
  <c r="AG220" i="28"/>
  <c r="AF220" i="28"/>
  <c r="AI219" i="28"/>
  <c r="AG219" i="28"/>
  <c r="AF219" i="28"/>
  <c r="AI218" i="28"/>
  <c r="AG218" i="28"/>
  <c r="AF218" i="28"/>
  <c r="AI217" i="28"/>
  <c r="AG217" i="28"/>
  <c r="AF217" i="28"/>
  <c r="AI216" i="28"/>
  <c r="AG216" i="28"/>
  <c r="AF216" i="28"/>
  <c r="AI215" i="28"/>
  <c r="AG215" i="28"/>
  <c r="AF215" i="28"/>
  <c r="AI214" i="28"/>
  <c r="AG214" i="28"/>
  <c r="AF214" i="28"/>
  <c r="AI213" i="28"/>
  <c r="AG213" i="28"/>
  <c r="AF213" i="28"/>
  <c r="AI212" i="28"/>
  <c r="AG212" i="28"/>
  <c r="AF212" i="28"/>
  <c r="AI211" i="28"/>
  <c r="AG211" i="28"/>
  <c r="AF211" i="28"/>
  <c r="AI210" i="28"/>
  <c r="AG210" i="28"/>
  <c r="AF210" i="28"/>
  <c r="AI209" i="28"/>
  <c r="AG209" i="28"/>
  <c r="AF209" i="28"/>
  <c r="AI208" i="28"/>
  <c r="AG208" i="28"/>
  <c r="AF208" i="28"/>
  <c r="AI207" i="28"/>
  <c r="AG207" i="28"/>
  <c r="AF207" i="28"/>
  <c r="AI206" i="28"/>
  <c r="AG206" i="28"/>
  <c r="AF206" i="28"/>
  <c r="AI205" i="28"/>
  <c r="AG205" i="28"/>
  <c r="AF205" i="28"/>
  <c r="AI204" i="28"/>
  <c r="AG204" i="28"/>
  <c r="AF204" i="28"/>
  <c r="AI203" i="28"/>
  <c r="AG203" i="28"/>
  <c r="AF203" i="28"/>
  <c r="AI202" i="28"/>
  <c r="AG202" i="28"/>
  <c r="AF202" i="28"/>
  <c r="AI201" i="28"/>
  <c r="AG201" i="28"/>
  <c r="AF201" i="28"/>
  <c r="AI200" i="28"/>
  <c r="AG200" i="28"/>
  <c r="AF200" i="28"/>
  <c r="AI199" i="28"/>
  <c r="AG199" i="28"/>
  <c r="AF199" i="28"/>
  <c r="AI198" i="28"/>
  <c r="AG198" i="28"/>
  <c r="AF198" i="28"/>
  <c r="AI197" i="28"/>
  <c r="AG197" i="28"/>
  <c r="AF197" i="28"/>
  <c r="AI196" i="28"/>
  <c r="AG196" i="28"/>
  <c r="AF196" i="28"/>
  <c r="AI195" i="28"/>
  <c r="AG195" i="28"/>
  <c r="AF195" i="28"/>
  <c r="AI194" i="28"/>
  <c r="AG194" i="28"/>
  <c r="AF194" i="28"/>
  <c r="AI193" i="28"/>
  <c r="AG193" i="28"/>
  <c r="AF193" i="28"/>
  <c r="AI192" i="28"/>
  <c r="AG192" i="28"/>
  <c r="AF192" i="28"/>
  <c r="AI191" i="28"/>
  <c r="AG191" i="28"/>
  <c r="AF191" i="28"/>
  <c r="AI190" i="28"/>
  <c r="AG190" i="28"/>
  <c r="AF190" i="28"/>
  <c r="AI189" i="28"/>
  <c r="AG189" i="28"/>
  <c r="AF189" i="28"/>
  <c r="AI188" i="28"/>
  <c r="AG188" i="28"/>
  <c r="AF188" i="28"/>
  <c r="AI187" i="28"/>
  <c r="AG187" i="28"/>
  <c r="AF187" i="28"/>
  <c r="AI186" i="28"/>
  <c r="AG186" i="28"/>
  <c r="AF186" i="28"/>
  <c r="AI185" i="28"/>
  <c r="AG185" i="28"/>
  <c r="AF185" i="28"/>
  <c r="AI184" i="28"/>
  <c r="AG184" i="28"/>
  <c r="AF184" i="28"/>
  <c r="AI183" i="28"/>
  <c r="AG183" i="28"/>
  <c r="AF183" i="28"/>
  <c r="AI182" i="28"/>
  <c r="AG182" i="28"/>
  <c r="AF182" i="28"/>
  <c r="AI181" i="28"/>
  <c r="AG181" i="28"/>
  <c r="AF181" i="28"/>
  <c r="AI180" i="28"/>
  <c r="AG180" i="28"/>
  <c r="AF180" i="28"/>
  <c r="AI179" i="28"/>
  <c r="AG179" i="28"/>
  <c r="AF179" i="28"/>
  <c r="AI178" i="28"/>
  <c r="AG178" i="28"/>
  <c r="AF178" i="28"/>
  <c r="AI177" i="28"/>
  <c r="AG177" i="28"/>
  <c r="AF177" i="28"/>
  <c r="AI176" i="28"/>
  <c r="AG176" i="28"/>
  <c r="AF176" i="28"/>
  <c r="AI175" i="28"/>
  <c r="AG175" i="28"/>
  <c r="AF175" i="28"/>
  <c r="AI174" i="28"/>
  <c r="AG174" i="28"/>
  <c r="AF174" i="28"/>
  <c r="AI173" i="28"/>
  <c r="AG173" i="28"/>
  <c r="AF173" i="28"/>
  <c r="AI172" i="28"/>
  <c r="AG172" i="28"/>
  <c r="AF172" i="28"/>
  <c r="AI171" i="28"/>
  <c r="AG171" i="28"/>
  <c r="AF171" i="28"/>
  <c r="AI170" i="28"/>
  <c r="AG170" i="28"/>
  <c r="AF170" i="28"/>
  <c r="AI169" i="28"/>
  <c r="AG169" i="28"/>
  <c r="AF169" i="28"/>
  <c r="AI168" i="28"/>
  <c r="AG168" i="28"/>
  <c r="AF168" i="28"/>
  <c r="AI167" i="28"/>
  <c r="AG167" i="28"/>
  <c r="AF167" i="28"/>
  <c r="AI166" i="28"/>
  <c r="AG166" i="28"/>
  <c r="AF166" i="28"/>
  <c r="AI165" i="28"/>
  <c r="AG165" i="28"/>
  <c r="AF165" i="28"/>
  <c r="AI164" i="28"/>
  <c r="AG164" i="28"/>
  <c r="AF164" i="28"/>
  <c r="AI163" i="28"/>
  <c r="AG163" i="28"/>
  <c r="AF163" i="28"/>
  <c r="AI162" i="28"/>
  <c r="AG162" i="28"/>
  <c r="AF162" i="28"/>
  <c r="AI161" i="28"/>
  <c r="AG161" i="28"/>
  <c r="AF161" i="28"/>
  <c r="AI160" i="28"/>
  <c r="AG160" i="28"/>
  <c r="AF160" i="28"/>
  <c r="AI159" i="28"/>
  <c r="AG159" i="28"/>
  <c r="AF159" i="28"/>
  <c r="AI158" i="28"/>
  <c r="AG158" i="28"/>
  <c r="AF158" i="28"/>
  <c r="AI157" i="28"/>
  <c r="AG157" i="28"/>
  <c r="AF157" i="28"/>
  <c r="AI156" i="28"/>
  <c r="AG156" i="28"/>
  <c r="AF156" i="28"/>
  <c r="AI155" i="28"/>
  <c r="AG155" i="28"/>
  <c r="AF155" i="28"/>
  <c r="AI154" i="28"/>
  <c r="AG154" i="28"/>
  <c r="AF154" i="28"/>
  <c r="AI153" i="28"/>
  <c r="AG153" i="28"/>
  <c r="AF153" i="28"/>
  <c r="AI152" i="28"/>
  <c r="AG152" i="28"/>
  <c r="AF152" i="28"/>
  <c r="AI151" i="28"/>
  <c r="AG151" i="28"/>
  <c r="AF151" i="28"/>
  <c r="AI150" i="28"/>
  <c r="AG150" i="28"/>
  <c r="AF150" i="28"/>
  <c r="AI149" i="28"/>
  <c r="AG149" i="28"/>
  <c r="AF149" i="28"/>
  <c r="AI148" i="28"/>
  <c r="AG148" i="28"/>
  <c r="AF148" i="28"/>
  <c r="AI147" i="28"/>
  <c r="AG147" i="28"/>
  <c r="AF147" i="28"/>
  <c r="AI146" i="28"/>
  <c r="AG146" i="28"/>
  <c r="AF146" i="28"/>
  <c r="AI145" i="28"/>
  <c r="AG145" i="28"/>
  <c r="AF145" i="28"/>
  <c r="AI144" i="28"/>
  <c r="AG144" i="28"/>
  <c r="AF144" i="28"/>
  <c r="AI143" i="28"/>
  <c r="AG143" i="28"/>
  <c r="AF143" i="28"/>
  <c r="AI142" i="28"/>
  <c r="AG142" i="28"/>
  <c r="AF142" i="28"/>
  <c r="AI141" i="28"/>
  <c r="AG141" i="28"/>
  <c r="AF141" i="28"/>
  <c r="AI140" i="28"/>
  <c r="AG140" i="28"/>
  <c r="AF140" i="28"/>
  <c r="AI139" i="28"/>
  <c r="AG139" i="28"/>
  <c r="AF139" i="28"/>
  <c r="AI138" i="28"/>
  <c r="AG138" i="28"/>
  <c r="AF138" i="28"/>
  <c r="AI137" i="28"/>
  <c r="AG137" i="28"/>
  <c r="AF137" i="28"/>
  <c r="AI136" i="28"/>
  <c r="AG136" i="28"/>
  <c r="AF136" i="28"/>
  <c r="AI135" i="28"/>
  <c r="AG135" i="28"/>
  <c r="AF135" i="28"/>
  <c r="AI134" i="28"/>
  <c r="AG134" i="28"/>
  <c r="AF134" i="28"/>
  <c r="AI133" i="28"/>
  <c r="AG133" i="28"/>
  <c r="AF133" i="28"/>
  <c r="AI132" i="28"/>
  <c r="AG132" i="28"/>
  <c r="AF132" i="28"/>
  <c r="AI131" i="28"/>
  <c r="AG131" i="28"/>
  <c r="AF131" i="28"/>
  <c r="AI130" i="28"/>
  <c r="AG130" i="28"/>
  <c r="AF130" i="28"/>
  <c r="AI129" i="28"/>
  <c r="AG129" i="28"/>
  <c r="AF129" i="28"/>
  <c r="AI128" i="28"/>
  <c r="AG128" i="28"/>
  <c r="AF128" i="28"/>
  <c r="AI127" i="28"/>
  <c r="AG127" i="28"/>
  <c r="AF127" i="28"/>
  <c r="AI126" i="28"/>
  <c r="AG126" i="28"/>
  <c r="AF126" i="28"/>
  <c r="AI125" i="28"/>
  <c r="AG125" i="28"/>
  <c r="AF125" i="28"/>
  <c r="AI124" i="28"/>
  <c r="AG124" i="28"/>
  <c r="AF124" i="28"/>
  <c r="AI123" i="28"/>
  <c r="AG123" i="28"/>
  <c r="AF123" i="28"/>
  <c r="AI122" i="28"/>
  <c r="AG122" i="28"/>
  <c r="AF122" i="28"/>
  <c r="AI121" i="28"/>
  <c r="AG121" i="28"/>
  <c r="AF121" i="28"/>
  <c r="AI120" i="28"/>
  <c r="AG120" i="28"/>
  <c r="AF120" i="28"/>
  <c r="AI119" i="28"/>
  <c r="AG119" i="28"/>
  <c r="AF119" i="28"/>
  <c r="AI118" i="28"/>
  <c r="AG118" i="28"/>
  <c r="AF118" i="28"/>
  <c r="AI117" i="28"/>
  <c r="AG117" i="28"/>
  <c r="AF117" i="28"/>
  <c r="AI116" i="28"/>
  <c r="AG116" i="28"/>
  <c r="AF116" i="28"/>
  <c r="AI115" i="28"/>
  <c r="AG115" i="28"/>
  <c r="AF115" i="28"/>
  <c r="AI114" i="28"/>
  <c r="AG114" i="28"/>
  <c r="AF114" i="28"/>
  <c r="AI113" i="28"/>
  <c r="AG113" i="28"/>
  <c r="AF113" i="28"/>
  <c r="AI112" i="28"/>
  <c r="AG112" i="28"/>
  <c r="AF112" i="28"/>
  <c r="AI111" i="28"/>
  <c r="AG111" i="28"/>
  <c r="AF111" i="28"/>
  <c r="AI110" i="28"/>
  <c r="AG110" i="28"/>
  <c r="AF110" i="28"/>
  <c r="AI109" i="28"/>
  <c r="AG109" i="28"/>
  <c r="AF109" i="28"/>
  <c r="AI108" i="28"/>
  <c r="AG108" i="28"/>
  <c r="AF108" i="28"/>
  <c r="AI107" i="28"/>
  <c r="AG107" i="28"/>
  <c r="AF107" i="28"/>
  <c r="AI106" i="28"/>
  <c r="AG106" i="28"/>
  <c r="AF106" i="28"/>
  <c r="AI105" i="28"/>
  <c r="AG105" i="28"/>
  <c r="AF105" i="28"/>
  <c r="AI104" i="28"/>
  <c r="AG104" i="28"/>
  <c r="AF104" i="28"/>
  <c r="AI103" i="28"/>
  <c r="AG103" i="28"/>
  <c r="AF103" i="28"/>
  <c r="AI102" i="28"/>
  <c r="AG102" i="28"/>
  <c r="AF102" i="28"/>
  <c r="AI101" i="28"/>
  <c r="AG101" i="28"/>
  <c r="AF101" i="28"/>
  <c r="AI100" i="28"/>
  <c r="AG100" i="28"/>
  <c r="AF100" i="28"/>
  <c r="AI99" i="28"/>
  <c r="AG99" i="28"/>
  <c r="AF99" i="28"/>
  <c r="AI98" i="28"/>
  <c r="AG98" i="28"/>
  <c r="AF98" i="28"/>
  <c r="AI97" i="28"/>
  <c r="AG97" i="28"/>
  <c r="AF97" i="28"/>
  <c r="AI96" i="28"/>
  <c r="AG96" i="28"/>
  <c r="AF96" i="28"/>
  <c r="AI95" i="28"/>
  <c r="AG95" i="28"/>
  <c r="AF95" i="28"/>
  <c r="AI94" i="28"/>
  <c r="AG94" i="28"/>
  <c r="AF94" i="28"/>
  <c r="AI93" i="28"/>
  <c r="AG93" i="28"/>
  <c r="AF93" i="28"/>
  <c r="AI92" i="28"/>
  <c r="AG92" i="28"/>
  <c r="AF92" i="28"/>
  <c r="AI91" i="28"/>
  <c r="AG91" i="28"/>
  <c r="AF91" i="28"/>
  <c r="AI90" i="28"/>
  <c r="AG90" i="28"/>
  <c r="AF90" i="28"/>
  <c r="AI89" i="28"/>
  <c r="AG89" i="28"/>
  <c r="AF89" i="28"/>
  <c r="AI88" i="28"/>
  <c r="AG88" i="28"/>
  <c r="AF88" i="28"/>
  <c r="AI87" i="28"/>
  <c r="AG87" i="28"/>
  <c r="AF87" i="28"/>
  <c r="AI86" i="28"/>
  <c r="AG86" i="28"/>
  <c r="AF86" i="28"/>
  <c r="AI85" i="28"/>
  <c r="AG85" i="28"/>
  <c r="AF85" i="28"/>
  <c r="AI84" i="28"/>
  <c r="AG84" i="28"/>
  <c r="AF84" i="28"/>
  <c r="AI83" i="28"/>
  <c r="AG83" i="28"/>
  <c r="AF83" i="28"/>
  <c r="AI82" i="28"/>
  <c r="AG82" i="28"/>
  <c r="AF82" i="28"/>
  <c r="AI81" i="28"/>
  <c r="AG81" i="28"/>
  <c r="AF81" i="28"/>
  <c r="AI80" i="28"/>
  <c r="AG80" i="28"/>
  <c r="AF80" i="28"/>
  <c r="AI79" i="28"/>
  <c r="AG79" i="28"/>
  <c r="AF79" i="28"/>
  <c r="AI78" i="28"/>
  <c r="AG78" i="28"/>
  <c r="AF78" i="28"/>
  <c r="AI77" i="28"/>
  <c r="AG77" i="28"/>
  <c r="AF77" i="28"/>
  <c r="AI76" i="28"/>
  <c r="AG76" i="28"/>
  <c r="AF76" i="28"/>
  <c r="AI75" i="28"/>
  <c r="AG75" i="28"/>
  <c r="AF75" i="28"/>
  <c r="AI74" i="28"/>
  <c r="AG74" i="28"/>
  <c r="AF74" i="28"/>
  <c r="AI73" i="28"/>
  <c r="AG73" i="28"/>
  <c r="AF73" i="28"/>
  <c r="AI72" i="28"/>
  <c r="AG72" i="28"/>
  <c r="AF72" i="28"/>
  <c r="AI71" i="28"/>
  <c r="AG71" i="28"/>
  <c r="AF71" i="28"/>
  <c r="AI70" i="28"/>
  <c r="AG70" i="28"/>
  <c r="AF70" i="28"/>
  <c r="AI69" i="28"/>
  <c r="AG69" i="28"/>
  <c r="AF69" i="28"/>
  <c r="AI68" i="28"/>
  <c r="AG68" i="28"/>
  <c r="AF68" i="28"/>
  <c r="AI67" i="28"/>
  <c r="AG67" i="28"/>
  <c r="AF67" i="28"/>
  <c r="AI66" i="28"/>
  <c r="AG66" i="28"/>
  <c r="AF66" i="28"/>
  <c r="AI65" i="28"/>
  <c r="AG65" i="28"/>
  <c r="AF65" i="28"/>
  <c r="AI64" i="28"/>
  <c r="AG64" i="28"/>
  <c r="AF64" i="28"/>
  <c r="AI63" i="28"/>
  <c r="AG63" i="28"/>
  <c r="AF63" i="28"/>
  <c r="AI62" i="28"/>
  <c r="AG62" i="28"/>
  <c r="AF62" i="28"/>
  <c r="AI61" i="28"/>
  <c r="AG61" i="28"/>
  <c r="AF61" i="28"/>
  <c r="AI60" i="28"/>
  <c r="AG60" i="28"/>
  <c r="AF60" i="28"/>
  <c r="AI59" i="28"/>
  <c r="AG59" i="28"/>
  <c r="AF59" i="28"/>
  <c r="AI58" i="28"/>
  <c r="AG58" i="28"/>
  <c r="AF58" i="28"/>
  <c r="AI57" i="28"/>
  <c r="AG57" i="28"/>
  <c r="AF57" i="28"/>
  <c r="AI56" i="28"/>
  <c r="AG56" i="28"/>
  <c r="AF56" i="28"/>
  <c r="AI55" i="28"/>
  <c r="AG55" i="28"/>
  <c r="AF55" i="28"/>
  <c r="AI54" i="28"/>
  <c r="AG54" i="28"/>
  <c r="AF54" i="28"/>
  <c r="AI53" i="28"/>
  <c r="AG53" i="28"/>
  <c r="AF53" i="28"/>
  <c r="AI52" i="28"/>
  <c r="AG52" i="28"/>
  <c r="AF52" i="28"/>
  <c r="AI51" i="28"/>
  <c r="AG51" i="28"/>
  <c r="AF51" i="28"/>
  <c r="AI50" i="28"/>
  <c r="AG50" i="28"/>
  <c r="AF50" i="28"/>
  <c r="AI49" i="28"/>
  <c r="AG49" i="28"/>
  <c r="AF49" i="28"/>
  <c r="AI48" i="28"/>
  <c r="AG48" i="28"/>
  <c r="AF48" i="28"/>
  <c r="AI47" i="28"/>
  <c r="AG47" i="28"/>
  <c r="AF47" i="28"/>
  <c r="AI46" i="28"/>
  <c r="AG46" i="28"/>
  <c r="AF46" i="28"/>
  <c r="AI45" i="28"/>
  <c r="AG45" i="28"/>
  <c r="AF45" i="28"/>
  <c r="AI44" i="28"/>
  <c r="AG44" i="28"/>
  <c r="AF44" i="28"/>
  <c r="AI43" i="28"/>
  <c r="AG43" i="28"/>
  <c r="AF43" i="28"/>
  <c r="AI42" i="28"/>
  <c r="AG42" i="28"/>
  <c r="AF42" i="28"/>
  <c r="AI41" i="28"/>
  <c r="AG41" i="28"/>
  <c r="AF41" i="28"/>
  <c r="AI40" i="28"/>
  <c r="AG40" i="28"/>
  <c r="AF40" i="28"/>
  <c r="AI39" i="28"/>
  <c r="AG39" i="28"/>
  <c r="AF39" i="28"/>
  <c r="AI38" i="28"/>
  <c r="AG38" i="28"/>
  <c r="AF38" i="28"/>
  <c r="AI37" i="28"/>
  <c r="AG37" i="28"/>
  <c r="AF37" i="28"/>
  <c r="AI36" i="28"/>
  <c r="AG36" i="28"/>
  <c r="AF36" i="28"/>
  <c r="AI35" i="28"/>
  <c r="AG35" i="28"/>
  <c r="AF35" i="28"/>
  <c r="AI34" i="28"/>
  <c r="AG34" i="28"/>
  <c r="AF34" i="28"/>
  <c r="AI33" i="28"/>
  <c r="AG33" i="28"/>
  <c r="AF33" i="28"/>
  <c r="AI32" i="28"/>
  <c r="AG32" i="28"/>
  <c r="AF32" i="28"/>
  <c r="AI31" i="28"/>
  <c r="AG31" i="28"/>
  <c r="AF31" i="28"/>
  <c r="AI30" i="28"/>
  <c r="AG30" i="28"/>
  <c r="AF30" i="28"/>
  <c r="AI29" i="28"/>
  <c r="AG29" i="28"/>
  <c r="AF29" i="28"/>
  <c r="AI28" i="28"/>
  <c r="AG28" i="28"/>
  <c r="AF28" i="28"/>
  <c r="AI27" i="28"/>
  <c r="AG27" i="28"/>
  <c r="AF27" i="28"/>
  <c r="AI26" i="28"/>
  <c r="AG26" i="28"/>
  <c r="AF26" i="28"/>
  <c r="AI25" i="28"/>
  <c r="AG25" i="28"/>
  <c r="AF25" i="28"/>
  <c r="AI24" i="28"/>
  <c r="AG24" i="28"/>
  <c r="AF24" i="28"/>
  <c r="AI23" i="28"/>
  <c r="AG23" i="28"/>
  <c r="AF23" i="28"/>
  <c r="AI22" i="28"/>
  <c r="AG22" i="28"/>
  <c r="AF22" i="28"/>
  <c r="AI21" i="28"/>
  <c r="AG21" i="28"/>
  <c r="AF21" i="28"/>
  <c r="AI20" i="28"/>
  <c r="AG20" i="28"/>
  <c r="AF20" i="28"/>
  <c r="AI19" i="28"/>
  <c r="AG19" i="28"/>
  <c r="AF19" i="28"/>
  <c r="AI18" i="28"/>
  <c r="AG18" i="28"/>
  <c r="AF18" i="28"/>
  <c r="AI17" i="28"/>
  <c r="AG17" i="28"/>
  <c r="AF17" i="28"/>
  <c r="AI16" i="28"/>
  <c r="AG16" i="28"/>
  <c r="AF16" i="28"/>
  <c r="AI15" i="28"/>
  <c r="AG15" i="28"/>
  <c r="AF15" i="28"/>
  <c r="AI14" i="28"/>
  <c r="AG14" i="28"/>
  <c r="AF14" i="28"/>
  <c r="AI13" i="28"/>
  <c r="AG13" i="28"/>
  <c r="AF13" i="28"/>
  <c r="AI12" i="28"/>
  <c r="AG12" i="28"/>
  <c r="AF12" i="28"/>
  <c r="AI11" i="28"/>
  <c r="AG11" i="28"/>
  <c r="AF11" i="28"/>
  <c r="AI10" i="28"/>
  <c r="AG10" i="28"/>
  <c r="AF10" i="28"/>
  <c r="AI9" i="28"/>
  <c r="AG9" i="28"/>
  <c r="AF9" i="28"/>
  <c r="AI8" i="28"/>
  <c r="AG8" i="28"/>
  <c r="AF8" i="28"/>
  <c r="AI7" i="28"/>
  <c r="AG7" i="28"/>
  <c r="AF7" i="28"/>
  <c r="AI6" i="28"/>
  <c r="AG6" i="28"/>
  <c r="AF6" i="28"/>
  <c r="AI5" i="28"/>
  <c r="AG5" i="28"/>
  <c r="AF5" i="28"/>
  <c r="AI4" i="28"/>
  <c r="AG4" i="28"/>
  <c r="AF4" i="28"/>
  <c r="M33" i="7" l="1"/>
  <c r="D18" i="7" s="1"/>
</calcChain>
</file>

<file path=xl/comments1.xml><?xml version="1.0" encoding="utf-8"?>
<comments xmlns="http://schemas.openxmlformats.org/spreadsheetml/2006/main">
  <authors>
    <author>jt0003315</author>
  </authors>
  <commentList>
    <comment ref="E2" authorId="0">
      <text>
        <r>
          <rPr>
            <b/>
            <sz val="9"/>
            <rFont val="MS P ゴシック"/>
            <family val="3"/>
            <charset val="128"/>
          </rPr>
          <t>旧資産番号</t>
        </r>
      </text>
    </comment>
    <comment ref="G2" authorId="0">
      <text>
        <r>
          <rPr>
            <b/>
            <sz val="9"/>
            <rFont val="MS P ゴシック"/>
            <family val="3"/>
            <charset val="128"/>
          </rPr>
          <t>※西暦記入
（yyyy/mm/dd）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S2" authorId="0">
      <text>
        <r>
          <rPr>
            <b/>
            <sz val="9"/>
            <rFont val="MS P ゴシック"/>
            <family val="3"/>
            <charset val="128"/>
          </rPr>
          <t>※遊休の場合必須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T2" authorId="0">
      <text>
        <r>
          <rPr>
            <b/>
            <sz val="9"/>
            <rFont val="MS P ゴシック"/>
            <family val="3"/>
            <charset val="128"/>
          </rPr>
          <t>※減損済の場合必須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U2" authorId="0">
      <text>
        <r>
          <rPr>
            <b/>
            <sz val="9"/>
            <rFont val="MS P ゴシック"/>
            <family val="3"/>
            <charset val="128"/>
          </rPr>
          <t>※減損済の場合必須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AM2" authorId="0">
      <text>
        <r>
          <rPr>
            <b/>
            <sz val="9"/>
            <rFont val="MS P ゴシック"/>
            <family val="3"/>
            <charset val="128"/>
          </rPr>
          <t>※廃棄・売却時必須</t>
        </r>
      </text>
    </comment>
    <comment ref="AN2" authorId="0">
      <text>
        <r>
          <rPr>
            <b/>
            <sz val="9"/>
            <rFont val="MS P ゴシック"/>
            <family val="3"/>
            <charset val="128"/>
          </rPr>
          <t>※売却時必須</t>
        </r>
      </text>
    </comment>
    <comment ref="AO2" authorId="0">
      <text>
        <r>
          <rPr>
            <b/>
            <sz val="9"/>
            <rFont val="MS P ゴシック"/>
            <family val="3"/>
            <charset val="128"/>
          </rPr>
          <t>※売却時必須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AP2" authorId="0">
      <text>
        <r>
          <rPr>
            <b/>
            <sz val="9"/>
            <rFont val="MS P ゴシック"/>
            <family val="3"/>
            <charset val="128"/>
          </rPr>
          <t>※判定が売却・廃棄・保管時必須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AQ2" authorId="0">
      <text>
        <r>
          <rPr>
            <b/>
            <sz val="9"/>
            <rFont val="MS P ゴシック"/>
            <family val="3"/>
            <charset val="128"/>
          </rPr>
          <t>※判定が売却・廃棄・保管時必須</t>
        </r>
      </text>
    </comment>
    <comment ref="AR2" authorId="0">
      <text>
        <r>
          <rPr>
            <b/>
            <sz val="9"/>
            <rFont val="MS P ゴシック"/>
            <family val="3"/>
            <charset val="128"/>
          </rPr>
          <t>※判定が売却・廃棄・保管時必須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S3" authorId="0">
      <text>
        <r>
          <rPr>
            <b/>
            <sz val="9"/>
            <rFont val="MS P ゴシック"/>
            <family val="3"/>
            <charset val="128"/>
          </rPr>
          <t>※Not being used assets　　　　　　　(in this case entry is required)</t>
        </r>
      </text>
    </comment>
    <comment ref="T3" authorId="0">
      <text>
        <r>
          <rPr>
            <b/>
            <sz val="9"/>
            <rFont val="MS P ゴシック"/>
            <family val="3"/>
            <charset val="128"/>
          </rPr>
          <t>※Impairment　
Asset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U3" authorId="0">
      <text>
        <r>
          <rPr>
            <b/>
            <sz val="9"/>
            <rFont val="MS P ゴシック"/>
            <family val="3"/>
            <charset val="128"/>
          </rPr>
          <t>※Impairment Asset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AM3" authorId="0">
      <text>
        <r>
          <rPr>
            <b/>
            <sz val="9"/>
            <rFont val="MS P ゴシック"/>
            <family val="3"/>
            <charset val="128"/>
          </rPr>
          <t>※When disposal, sales, impairment(in this case entry is required)</t>
        </r>
      </text>
    </comment>
    <comment ref="AN3" authorId="0">
      <text>
        <r>
          <rPr>
            <b/>
            <sz val="9"/>
            <rFont val="MS P ゴシック"/>
            <family val="3"/>
            <charset val="128"/>
          </rPr>
          <t>※Only when sales
(in this case entry is required)</t>
        </r>
      </text>
    </comment>
    <comment ref="AO3" authorId="0">
      <text>
        <r>
          <rPr>
            <b/>
            <sz val="9"/>
            <rFont val="MS P ゴシック"/>
            <family val="3"/>
            <charset val="128"/>
          </rPr>
          <t>※Only when sales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AP3" authorId="0">
      <text>
        <r>
          <rPr>
            <b/>
            <sz val="9"/>
            <rFont val="MS P ゴシック"/>
            <family val="3"/>
            <charset val="128"/>
          </rPr>
          <t>※Only when sales, disposal, retained        (in this case entry is required)</t>
        </r>
      </text>
    </comment>
    <comment ref="AQ3" authorId="0">
      <text>
        <r>
          <rPr>
            <b/>
            <sz val="9"/>
            <rFont val="MS P ゴシック"/>
            <family val="3"/>
            <charset val="128"/>
          </rPr>
          <t>※Only when sales, disposal, retained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AR3" authorId="0">
      <text>
        <r>
          <rPr>
            <b/>
            <sz val="9"/>
            <rFont val="MS P ゴシック"/>
            <family val="3"/>
            <charset val="128"/>
          </rPr>
          <t>※Only when sales, disposal, retained</t>
        </r>
        <r>
          <rPr>
            <sz val="9"/>
            <rFont val="MS P ゴシック"/>
            <family val="3"/>
            <charset val="128"/>
          </rPr>
          <t xml:space="preserve">
(</t>
        </r>
        <r>
          <rPr>
            <b/>
            <sz val="9"/>
            <rFont val="MS P ゴシック"/>
            <family val="3"/>
            <charset val="128"/>
          </rPr>
          <t>in this case entry is required)</t>
        </r>
      </text>
    </comment>
  </commentList>
</comments>
</file>

<file path=xl/comments2.xml><?xml version="1.0" encoding="utf-8"?>
<comments xmlns="http://schemas.openxmlformats.org/spreadsheetml/2006/main">
  <authors>
    <author>H00020611</author>
  </authors>
  <commentList>
    <comment ref="M2" authorId="0">
      <text>
        <r>
          <rPr>
            <sz val="9"/>
            <rFont val="ＭＳ Ｐゴシック"/>
            <family val="3"/>
            <charset val="128"/>
          </rPr>
          <t>調査結果を集計後、
まとめ表を作成し、
拠点証の承認をお願いします</t>
        </r>
      </text>
    </comment>
    <comment ref="B23" authorId="0">
      <text>
        <r>
          <rPr>
            <b/>
            <sz val="9"/>
            <rFont val="ＭＳ Ｐゴシック"/>
            <family val="3"/>
            <charset val="128"/>
          </rPr>
          <t xml:space="preserve">1.調査台帳を集計する
2.ピボット作成
行ラベル　資産科目　(種類）　 C列
列ラベル　判定2　　　　　　　　　Ｙ列
値　　　　　帳簿価額（減損後）　Ｒ列
3.科目名称等を調整する
4.EISの残高と一致するか確認する
</t>
        </r>
      </text>
    </comment>
  </commentList>
</comments>
</file>

<file path=xl/sharedStrings.xml><?xml version="1.0" encoding="utf-8"?>
<sst xmlns="http://schemas.openxmlformats.org/spreadsheetml/2006/main" count="8928" uniqueCount="2210">
  <si>
    <t>拠点</t>
    <rPh sb="0" eb="2">
      <t>ｷｮﾃﾝ</t>
    </rPh>
    <phoneticPr fontId="14" type="noConversion"/>
  </si>
  <si>
    <t>W/W資産No</t>
    <rPh sb="3" eb="5">
      <t>シサン</t>
    </rPh>
    <phoneticPr fontId="6"/>
  </si>
  <si>
    <t>資産名称</t>
    <rPh sb="0" eb="2">
      <t>ｼｻﾝ</t>
    </rPh>
    <rPh sb="2" eb="4">
      <t>ﾒｲｼｮｳ</t>
    </rPh>
    <phoneticPr fontId="14" type="noConversion"/>
  </si>
  <si>
    <t>購入先</t>
    <rPh sb="0" eb="2">
      <t>コウニュウ</t>
    </rPh>
    <rPh sb="2" eb="3">
      <t>サキ</t>
    </rPh>
    <phoneticPr fontId="6"/>
  </si>
  <si>
    <t>工程名称</t>
    <rPh sb="0" eb="2">
      <t>コウテイ</t>
    </rPh>
    <rPh sb="2" eb="4">
      <t>メイショウ</t>
    </rPh>
    <phoneticPr fontId="6"/>
  </si>
  <si>
    <t>耐用年数</t>
    <rPh sb="0" eb="2">
      <t>タイヨウ</t>
    </rPh>
    <rPh sb="2" eb="4">
      <t>ネンスウ</t>
    </rPh>
    <phoneticPr fontId="6"/>
  </si>
  <si>
    <t>取得価額</t>
    <rPh sb="0" eb="2">
      <t>ｼｭﾄｸ</t>
    </rPh>
    <rPh sb="2" eb="4">
      <t>ｶｶﾞｸ</t>
    </rPh>
    <phoneticPr fontId="14" type="noConversion"/>
  </si>
  <si>
    <t>残存価額</t>
    <rPh sb="0" eb="2">
      <t>ザンゾン</t>
    </rPh>
    <rPh sb="2" eb="4">
      <t>カガク</t>
    </rPh>
    <phoneticPr fontId="6"/>
  </si>
  <si>
    <t>転売</t>
    <rPh sb="0" eb="2">
      <t>テンバイ</t>
    </rPh>
    <phoneticPr fontId="6"/>
  </si>
  <si>
    <t>LocalAssetNo</t>
  </si>
  <si>
    <t>時期</t>
    <rPh sb="0" eb="2">
      <t>ジキ</t>
    </rPh>
    <phoneticPr fontId="6"/>
  </si>
  <si>
    <t>売却額</t>
    <rPh sb="0" eb="3">
      <t>バイキャクガク</t>
    </rPh>
    <phoneticPr fontId="6"/>
  </si>
  <si>
    <t>売却先</t>
    <rPh sb="0" eb="3">
      <t>バイキャクサキ</t>
    </rPh>
    <phoneticPr fontId="6"/>
  </si>
  <si>
    <t>購入時の目的</t>
    <rPh sb="0" eb="3">
      <t>コウニュウジ</t>
    </rPh>
    <rPh sb="4" eb="6">
      <t>モクテキ</t>
    </rPh>
    <phoneticPr fontId="10"/>
  </si>
  <si>
    <t>判定に至った経緯</t>
    <rPh sb="0" eb="2">
      <t>ハンテイ</t>
    </rPh>
    <rPh sb="3" eb="4">
      <t>イタ</t>
    </rPh>
    <rPh sb="6" eb="8">
      <t>ケイイ</t>
    </rPh>
    <phoneticPr fontId="10"/>
  </si>
  <si>
    <t>合計</t>
  </si>
  <si>
    <t>その他無形固定資産</t>
  </si>
  <si>
    <t>ソフトウェア</t>
  </si>
  <si>
    <t>電話加入権</t>
  </si>
  <si>
    <t>土地</t>
    <rPh sb="0" eb="2">
      <t>トチ</t>
    </rPh>
    <phoneticPr fontId="10"/>
  </si>
  <si>
    <t>工具器具備品</t>
    <rPh sb="0" eb="2">
      <t>コウグ</t>
    </rPh>
    <rPh sb="2" eb="4">
      <t>キグ</t>
    </rPh>
    <rPh sb="4" eb="6">
      <t>ビヒン</t>
    </rPh>
    <phoneticPr fontId="10"/>
  </si>
  <si>
    <t>車両運搬具</t>
    <rPh sb="0" eb="2">
      <t>シャリョウ</t>
    </rPh>
    <rPh sb="2" eb="4">
      <t>ウンパン</t>
    </rPh>
    <rPh sb="4" eb="5">
      <t>グ</t>
    </rPh>
    <phoneticPr fontId="10"/>
  </si>
  <si>
    <t>機械装置</t>
    <rPh sb="0" eb="2">
      <t>キカイ</t>
    </rPh>
    <rPh sb="2" eb="4">
      <t>ソウチ</t>
    </rPh>
    <phoneticPr fontId="10"/>
  </si>
  <si>
    <t>構築物</t>
    <rPh sb="0" eb="2">
      <t>コウチク</t>
    </rPh>
    <rPh sb="2" eb="3">
      <t>ブツ</t>
    </rPh>
    <phoneticPr fontId="10"/>
  </si>
  <si>
    <t>建物</t>
    <rPh sb="0" eb="2">
      <t>タテモノ</t>
    </rPh>
    <phoneticPr fontId="10"/>
  </si>
  <si>
    <t>合計</t>
  </si>
  <si>
    <t>状態継続</t>
  </si>
  <si>
    <t>売却</t>
  </si>
  <si>
    <t>廃棄</t>
  </si>
  <si>
    <t>稼働再開</t>
  </si>
  <si>
    <t>合計</t>
    <rPh sb="0" eb="2">
      <t>ゴウケイ</t>
    </rPh>
    <phoneticPr fontId="6"/>
  </si>
  <si>
    <t>③使用中</t>
    <rPh sb="1" eb="4">
      <t>シヨウチュウ</t>
    </rPh>
    <phoneticPr fontId="6"/>
  </si>
  <si>
    <t>②使用中</t>
    <rPh sb="1" eb="4">
      <t>シヨウチュウ</t>
    </rPh>
    <phoneticPr fontId="6"/>
  </si>
  <si>
    <t>①使用中</t>
    <rPh sb="1" eb="3">
      <t>シヨウ</t>
    </rPh>
    <rPh sb="3" eb="4">
      <t>ナカ</t>
    </rPh>
    <phoneticPr fontId="6"/>
  </si>
  <si>
    <t>判定2</t>
    <rPh sb="0" eb="2">
      <t>ハンテイ</t>
    </rPh>
    <phoneticPr fontId="6"/>
  </si>
  <si>
    <t>経理責任者</t>
    <rPh sb="0" eb="2">
      <t>ケイリ</t>
    </rPh>
    <rPh sb="2" eb="5">
      <t>セキニンシャ</t>
    </rPh>
    <phoneticPr fontId="6"/>
  </si>
  <si>
    <t>拠点主管者</t>
    <rPh sb="0" eb="2">
      <t>キョテン</t>
    </rPh>
    <rPh sb="2" eb="3">
      <t>シュ</t>
    </rPh>
    <rPh sb="3" eb="4">
      <t>カン</t>
    </rPh>
    <rPh sb="4" eb="5">
      <t>シャ</t>
    </rPh>
    <phoneticPr fontId="6"/>
  </si>
  <si>
    <t>まとめ表:固定資産実態調査台帳集計結果</t>
    <rPh sb="3" eb="4">
      <t>ヒョウ</t>
    </rPh>
    <rPh sb="5" eb="7">
      <t>コテイ</t>
    </rPh>
    <rPh sb="7" eb="9">
      <t>シサン</t>
    </rPh>
    <rPh sb="9" eb="11">
      <t>ジッタイ</t>
    </rPh>
    <rPh sb="11" eb="13">
      <t>チョウサ</t>
    </rPh>
    <rPh sb="13" eb="15">
      <t>ダイチョウ</t>
    </rPh>
    <rPh sb="15" eb="17">
      <t>シュウケイ</t>
    </rPh>
    <rPh sb="17" eb="19">
      <t>ケッカ</t>
    </rPh>
    <phoneticPr fontId="6"/>
  </si>
  <si>
    <t>　（ＪＴＹは部門長）</t>
    <rPh sb="6" eb="8">
      <t>ブモン</t>
    </rPh>
    <rPh sb="8" eb="9">
      <t>チョウ</t>
    </rPh>
    <phoneticPr fontId="2"/>
  </si>
  <si>
    <t>（ＪＴＹは入力担当）</t>
    <rPh sb="5" eb="7">
      <t>ニュウリョク</t>
    </rPh>
    <rPh sb="7" eb="9">
      <t>タントウ</t>
    </rPh>
    <phoneticPr fontId="2"/>
  </si>
  <si>
    <t>三ノ倉工場</t>
    <rPh sb="0" eb="1">
      <t>サン</t>
    </rPh>
    <rPh sb="2" eb="3">
      <t>クラ</t>
    </rPh>
    <rPh sb="3" eb="5">
      <t>コウジョウ</t>
    </rPh>
    <phoneticPr fontId="6"/>
  </si>
  <si>
    <t>NE*</t>
  </si>
  <si>
    <t>JPY</t>
  </si>
  <si>
    <t>L1820
W710
H1140</t>
  </si>
  <si>
    <t xml:space="preserve">重量：410kg
電源：3φ 200V
ﾋｰﾀ：900W ｘ 6本
方式：遠赤加熱
ｺﾝﾍﾞｱ形状：平型
</t>
    <rPh sb="0" eb="2">
      <t>ジュウリョウ</t>
    </rPh>
    <rPh sb="9" eb="11">
      <t>デンゲン</t>
    </rPh>
    <rPh sb="32" eb="33">
      <t>ホン</t>
    </rPh>
    <rPh sb="34" eb="36">
      <t>ホウシキ</t>
    </rPh>
    <rPh sb="37" eb="39">
      <t>エンセキ</t>
    </rPh>
    <rPh sb="39" eb="41">
      <t>カネツ</t>
    </rPh>
    <rPh sb="47" eb="49">
      <t>ケイジョウ</t>
    </rPh>
    <rPh sb="50" eb="51">
      <t>ヒラ</t>
    </rPh>
    <rPh sb="51" eb="52">
      <t>ガタ</t>
    </rPh>
    <phoneticPr fontId="6"/>
  </si>
  <si>
    <t>2007年</t>
    <rPh sb="4" eb="5">
      <t>ネン</t>
    </rPh>
    <phoneticPr fontId="6"/>
  </si>
  <si>
    <t>JVH-1</t>
  </si>
  <si>
    <t>△△テック</t>
  </si>
  <si>
    <t>JTY ○○○部
氏名 816-298</t>
    <rPh sb="7" eb="8">
      <t>ブ</t>
    </rPh>
    <rPh sb="9" eb="11">
      <t>シメイ</t>
    </rPh>
    <phoneticPr fontId="6"/>
  </si>
  <si>
    <t>可-ｸﾞﾙｰﾌﾟ外</t>
    <rPh sb="0" eb="1">
      <t>カ</t>
    </rPh>
    <phoneticPr fontId="6"/>
  </si>
  <si>
    <t>×××××××××××</t>
  </si>
  <si>
    <t>5JT2007010ZZ9999-000</t>
  </si>
  <si>
    <t>JTY</t>
  </si>
  <si>
    <t>例</t>
    <rPh sb="0" eb="1">
      <t>レイ</t>
    </rPh>
    <phoneticPr fontId="6"/>
  </si>
  <si>
    <t>通貨</t>
  </si>
  <si>
    <t>6月末簿価
（拠点通貨）</t>
    <rPh sb="1" eb="2">
      <t>ガツ</t>
    </rPh>
    <rPh sb="2" eb="3">
      <t>マツ</t>
    </rPh>
    <rPh sb="3" eb="5">
      <t>ボカ</t>
    </rPh>
    <phoneticPr fontId="6"/>
  </si>
  <si>
    <t>取得価額
（拠点通貨）</t>
    <rPh sb="0" eb="2">
      <t>シュトク</t>
    </rPh>
    <rPh sb="2" eb="4">
      <t>カガク</t>
    </rPh>
    <rPh sb="6" eb="8">
      <t>キョテン</t>
    </rPh>
    <rPh sb="8" eb="10">
      <t>ツウカ</t>
    </rPh>
    <phoneticPr fontId="6"/>
  </si>
  <si>
    <t>取得日</t>
    <rPh sb="0" eb="2">
      <t>シュトク</t>
    </rPh>
    <rPh sb="2" eb="3">
      <t>ビ</t>
    </rPh>
    <phoneticPr fontId="6"/>
  </si>
  <si>
    <t>保管場所</t>
    <rPh sb="0" eb="2">
      <t>ホカン</t>
    </rPh>
    <rPh sb="2" eb="4">
      <t>バショ</t>
    </rPh>
    <phoneticPr fontId="6"/>
  </si>
  <si>
    <t>写真</t>
    <rPh sb="0" eb="2">
      <t>シャシン</t>
    </rPh>
    <phoneticPr fontId="6"/>
  </si>
  <si>
    <t>寸法</t>
  </si>
  <si>
    <t>仕様</t>
    <rPh sb="0" eb="2">
      <t>シヨウ</t>
    </rPh>
    <phoneticPr fontId="6"/>
  </si>
  <si>
    <t>年式</t>
    <rPh sb="0" eb="2">
      <t>ネンシキ</t>
    </rPh>
    <phoneticPr fontId="6"/>
  </si>
  <si>
    <t>形式（型番）</t>
    <rPh sb="0" eb="2">
      <t>ケイシキ</t>
    </rPh>
    <rPh sb="3" eb="5">
      <t>カタバン</t>
    </rPh>
    <phoneticPr fontId="6"/>
  </si>
  <si>
    <t>メーカー</t>
  </si>
  <si>
    <t>拠点/担当</t>
    <rPh sb="0" eb="2">
      <t>キョテン</t>
    </rPh>
    <rPh sb="3" eb="5">
      <t>タントウ</t>
    </rPh>
    <phoneticPr fontId="6"/>
  </si>
  <si>
    <t>固定資産名称</t>
    <rPh sb="0" eb="2">
      <t>コテイ</t>
    </rPh>
    <rPh sb="2" eb="4">
      <t>シサン</t>
    </rPh>
    <rPh sb="4" eb="6">
      <t>メイショウ</t>
    </rPh>
    <phoneticPr fontId="6"/>
  </si>
  <si>
    <t>W/W固定資産番号-枝番</t>
    <rPh sb="3" eb="5">
      <t>コテイ</t>
    </rPh>
    <rPh sb="5" eb="7">
      <t>シサン</t>
    </rPh>
    <rPh sb="7" eb="9">
      <t>バンゴウ</t>
    </rPh>
    <rPh sb="10" eb="11">
      <t>エダ</t>
    </rPh>
    <rPh sb="11" eb="12">
      <t>バン</t>
    </rPh>
    <phoneticPr fontId="6"/>
  </si>
  <si>
    <t>拠点</t>
    <rPh sb="0" eb="2">
      <t>キョテン</t>
    </rPh>
    <phoneticPr fontId="6"/>
  </si>
  <si>
    <t>転売可能資産明細</t>
    <rPh sb="0" eb="2">
      <t>テンバイ</t>
    </rPh>
    <rPh sb="2" eb="4">
      <t>カノウ</t>
    </rPh>
    <rPh sb="4" eb="6">
      <t>シサン</t>
    </rPh>
    <rPh sb="6" eb="8">
      <t>メイサイ</t>
    </rPh>
    <phoneticPr fontId="6"/>
  </si>
  <si>
    <t>ｻﾞｯﾂ食堂事業、中国梱包向け印刷・梱包部材</t>
  </si>
  <si>
    <t>XZZ</t>
  </si>
  <si>
    <t>設備開発販売</t>
  </si>
  <si>
    <t>XZT</t>
  </si>
  <si>
    <t>福島リサイクルポリカ</t>
  </si>
  <si>
    <t>XZP</t>
  </si>
  <si>
    <t>XVM</t>
  </si>
  <si>
    <t>XVL</t>
  </si>
  <si>
    <t>官公庁受託</t>
  </si>
  <si>
    <t>XVK</t>
  </si>
  <si>
    <t>海外技術支援派遣</t>
  </si>
  <si>
    <t>XVJ</t>
  </si>
  <si>
    <t>再雇用支援</t>
  </si>
  <si>
    <t>XVI</t>
  </si>
  <si>
    <t>業務委託</t>
  </si>
  <si>
    <t>XVH</t>
  </si>
  <si>
    <t>人材流動仲介業務</t>
  </si>
  <si>
    <t>XVG</t>
  </si>
  <si>
    <t>アウトソーシング</t>
  </si>
  <si>
    <t>XVF</t>
  </si>
  <si>
    <t>人材紹介業</t>
  </si>
  <si>
    <t>XVE</t>
  </si>
  <si>
    <t>研修</t>
  </si>
  <si>
    <t>XVD</t>
  </si>
  <si>
    <t>派遣技術者</t>
  </si>
  <si>
    <t>XVC</t>
  </si>
  <si>
    <t>XVB</t>
  </si>
  <si>
    <t>XVA</t>
  </si>
  <si>
    <t>プチＣＡＰ</t>
  </si>
  <si>
    <t>XUG</t>
  </si>
  <si>
    <t>アルミ電解コン</t>
  </si>
  <si>
    <t>XUF</t>
  </si>
  <si>
    <t>補聴器</t>
  </si>
  <si>
    <t>XUE</t>
  </si>
  <si>
    <t>設計技術</t>
  </si>
  <si>
    <t>XUD</t>
  </si>
  <si>
    <t>電子機器</t>
  </si>
  <si>
    <t>XUC</t>
  </si>
  <si>
    <t>XSS</t>
  </si>
  <si>
    <t>XSR</t>
  </si>
  <si>
    <t>環境ｱｼｽﾄﾘｻｲｸﾙ、分析事業</t>
  </si>
  <si>
    <t>XRA</t>
  </si>
  <si>
    <t>XLA</t>
  </si>
  <si>
    <t>太化部材・設備</t>
  </si>
  <si>
    <t>XKW</t>
  </si>
  <si>
    <t>大化スクリーンマスク</t>
  </si>
  <si>
    <t>XKS</t>
  </si>
  <si>
    <t>大化ESPマスク・機能性処理膜有り</t>
  </si>
  <si>
    <t>大化ESPマスク・機能性処理膜無し</t>
  </si>
  <si>
    <t>XKP</t>
  </si>
  <si>
    <t>太化レーザー/切削・機能性処理膜有り</t>
  </si>
  <si>
    <t>太化レーザー/切削・機能性処理膜無し</t>
  </si>
  <si>
    <t>XKL</t>
  </si>
  <si>
    <t>太化外注メッキ（グループ外）</t>
  </si>
  <si>
    <t>XKE</t>
  </si>
  <si>
    <t>機能性表面処理膜</t>
  </si>
  <si>
    <t>XKC</t>
  </si>
  <si>
    <t>太陽福祉物品販売</t>
  </si>
  <si>
    <t>XFB</t>
  </si>
  <si>
    <t>Gプロ</t>
  </si>
  <si>
    <t>XCA</t>
  </si>
  <si>
    <t>赤城ZZ</t>
  </si>
  <si>
    <t>XAZ</t>
  </si>
  <si>
    <t>赤城DS</t>
  </si>
  <si>
    <t>XAS</t>
  </si>
  <si>
    <t>赤城OS</t>
  </si>
  <si>
    <t>XAO</t>
  </si>
  <si>
    <t>赤城DN</t>
  </si>
  <si>
    <t>XAN</t>
  </si>
  <si>
    <t>赤城DD</t>
  </si>
  <si>
    <t>XAD</t>
  </si>
  <si>
    <t>TGZ</t>
  </si>
  <si>
    <t>TGX</t>
  </si>
  <si>
    <t>TGW</t>
  </si>
  <si>
    <t>TGV</t>
  </si>
  <si>
    <t>TG*</t>
  </si>
  <si>
    <t>SGA_Other(Optical Media &amp; Others)</t>
  </si>
  <si>
    <t>ＶＡＭその他その他</t>
  </si>
  <si>
    <t>XMH</t>
  </si>
  <si>
    <t>ﾃｽﾄﾒﾃﾞｨｱ</t>
  </si>
  <si>
    <t>XMG</t>
  </si>
  <si>
    <t>VAMその他</t>
  </si>
  <si>
    <t>XMF</t>
  </si>
  <si>
    <t>Disital-S</t>
  </si>
  <si>
    <t>XME</t>
  </si>
  <si>
    <t>MD</t>
  </si>
  <si>
    <t>XMD</t>
  </si>
  <si>
    <t>DVC</t>
  </si>
  <si>
    <t>XMC</t>
  </si>
  <si>
    <t>VHS</t>
  </si>
  <si>
    <t>XMB</t>
  </si>
  <si>
    <t>D3/D5</t>
  </si>
  <si>
    <t>XMA</t>
  </si>
  <si>
    <t>VZ*</t>
  </si>
  <si>
    <t>ｺﾝﾊﾟｸﾄﾃﾞｨｽｸ(CD-R)</t>
  </si>
  <si>
    <t>VWZ</t>
  </si>
  <si>
    <t>VWY</t>
  </si>
  <si>
    <t>VWX</t>
  </si>
  <si>
    <t>VWW</t>
  </si>
  <si>
    <t>VWV</t>
  </si>
  <si>
    <t>中国梱包材</t>
  </si>
  <si>
    <t>VW7</t>
  </si>
  <si>
    <t>ｺﾝﾊﾟｸﾄﾃﾞｨｽｸ(CD-R)_中国梱包</t>
  </si>
  <si>
    <t>VW1</t>
  </si>
  <si>
    <t>VW*</t>
  </si>
  <si>
    <t>DVD-R.other</t>
  </si>
  <si>
    <t>VTZ</t>
  </si>
  <si>
    <t>DVD-R.RW</t>
  </si>
  <si>
    <t>VTY</t>
  </si>
  <si>
    <t>DVD-R.RAM</t>
  </si>
  <si>
    <t>VTX</t>
  </si>
  <si>
    <t>DVD-R.DL</t>
  </si>
  <si>
    <t>VTW</t>
  </si>
  <si>
    <t>DVD-R.SL</t>
  </si>
  <si>
    <t>VTV</t>
  </si>
  <si>
    <t>DVD-R.C級品</t>
  </si>
  <si>
    <t>VTR</t>
  </si>
  <si>
    <t>DVD-R.C級品_中国梱包</t>
  </si>
  <si>
    <t>VT6</t>
  </si>
  <si>
    <t>DVD-R.DL_中国梱包</t>
  </si>
  <si>
    <t>VT2</t>
  </si>
  <si>
    <t>DVD-R_中国梱包</t>
  </si>
  <si>
    <t>VT1</t>
  </si>
  <si>
    <t>DVD-R</t>
  </si>
  <si>
    <t>VT*</t>
  </si>
  <si>
    <t>Blue高密度disk</t>
  </si>
  <si>
    <t>VGY</t>
  </si>
  <si>
    <t>VGX</t>
  </si>
  <si>
    <t>VGW</t>
  </si>
  <si>
    <t>Blue高密度disk_中国梱包</t>
  </si>
  <si>
    <t>VG1</t>
  </si>
  <si>
    <t>VG*</t>
  </si>
  <si>
    <t>その他のその他</t>
  </si>
  <si>
    <t>ZZZ</t>
  </si>
  <si>
    <t>ZZT</t>
  </si>
  <si>
    <t>ZZ*</t>
  </si>
  <si>
    <t>玉村その他</t>
  </si>
  <si>
    <t>ZT*</t>
  </si>
  <si>
    <t>三の倉その他</t>
  </si>
  <si>
    <t>ZS*</t>
  </si>
  <si>
    <t>中ノ条その他</t>
  </si>
  <si>
    <t>ZN*</t>
  </si>
  <si>
    <t>総研その他</t>
  </si>
  <si>
    <t>ZK*</t>
  </si>
  <si>
    <t>榛名その他</t>
  </si>
  <si>
    <t>ZH*</t>
  </si>
  <si>
    <t>江木その他</t>
  </si>
  <si>
    <t>ZE*</t>
  </si>
  <si>
    <t>圧電アクチュエータ</t>
  </si>
  <si>
    <t>ワイヤレスセンサネットワーク</t>
  </si>
  <si>
    <t>可視光通信</t>
  </si>
  <si>
    <t>光変位センサー</t>
  </si>
  <si>
    <t>WZ*</t>
  </si>
  <si>
    <t>WV*</t>
  </si>
  <si>
    <t>WT*</t>
  </si>
  <si>
    <t>ワイヤレスセンサネットワーク　その他</t>
  </si>
  <si>
    <t>WSZ</t>
  </si>
  <si>
    <t>無線LANモジュール</t>
  </si>
  <si>
    <t>WSX</t>
  </si>
  <si>
    <t>無線PANモジュール</t>
  </si>
  <si>
    <t>WSW</t>
  </si>
  <si>
    <t>無線システム</t>
  </si>
  <si>
    <t>WSV</t>
  </si>
  <si>
    <t>WS*</t>
  </si>
  <si>
    <t>WL*</t>
  </si>
  <si>
    <t>WA9</t>
  </si>
  <si>
    <t>WA*</t>
  </si>
  <si>
    <t>サンプルボックス</t>
  </si>
  <si>
    <t>TS*</t>
  </si>
  <si>
    <t>ｼﾝﾌﾟﾙﾏﾙﾁﾏｳﾝﾄ(1)</t>
  </si>
  <si>
    <t>TE*</t>
  </si>
  <si>
    <t>得意先向け機械設備</t>
  </si>
  <si>
    <t>TD*</t>
  </si>
  <si>
    <t>得意先向け原材料</t>
  </si>
  <si>
    <t>TC*</t>
  </si>
  <si>
    <t>海外関連会社向け機械設備</t>
  </si>
  <si>
    <t>TB*</t>
  </si>
  <si>
    <t>海外関連会社向け原材料</t>
  </si>
  <si>
    <t>TA*</t>
  </si>
  <si>
    <t>OHD</t>
  </si>
  <si>
    <t>TV用ﾌｨﾙﾀ/共振子</t>
  </si>
  <si>
    <t>PQ*</t>
  </si>
  <si>
    <t>PJ OTHERS</t>
  </si>
  <si>
    <t>PJZ</t>
  </si>
  <si>
    <t>デュプレクサー</t>
  </si>
  <si>
    <t>PJY</t>
  </si>
  <si>
    <t>SAWデバイス</t>
  </si>
  <si>
    <t>PJX</t>
  </si>
  <si>
    <t>FBARデバイス</t>
  </si>
  <si>
    <t>PJW</t>
  </si>
  <si>
    <t>PJ1</t>
  </si>
  <si>
    <t>PJ*</t>
  </si>
  <si>
    <t>GF OTHERS</t>
  </si>
  <si>
    <t>GFZ</t>
  </si>
  <si>
    <t>フロントエンドモジュール　DBM</t>
  </si>
  <si>
    <t>GFY</t>
  </si>
  <si>
    <t>フロントエンドモジュール　TMM</t>
  </si>
  <si>
    <t>GFX</t>
  </si>
  <si>
    <t>フロントエンドモジュール　RxM</t>
  </si>
  <si>
    <t>GFW</t>
  </si>
  <si>
    <t>フロントエンドモジュール　VCO</t>
  </si>
  <si>
    <t>GFV</t>
  </si>
  <si>
    <t>フロントエンドモジュール　SDM</t>
  </si>
  <si>
    <t>GFS</t>
  </si>
  <si>
    <t>高周波複合部品</t>
  </si>
  <si>
    <t>PGZ</t>
  </si>
  <si>
    <t>PGX</t>
  </si>
  <si>
    <t>PGW</t>
  </si>
  <si>
    <t>PG*</t>
  </si>
  <si>
    <t>積層チップＥＭＩ除去フィルタ素地品</t>
  </si>
  <si>
    <t>PF9</t>
  </si>
  <si>
    <t>素材</t>
  </si>
  <si>
    <t>PF8</t>
  </si>
  <si>
    <t>PF1</t>
  </si>
  <si>
    <t>積層チツプＥＭＩ除去フイルター</t>
  </si>
  <si>
    <t>PF*</t>
  </si>
  <si>
    <t>ＮＴＣサーミスタ</t>
  </si>
  <si>
    <t>NEZ</t>
  </si>
  <si>
    <t>NEW</t>
  </si>
  <si>
    <t>NEV</t>
  </si>
  <si>
    <t>NE8</t>
  </si>
  <si>
    <t>ﾒﾙﾌ型固定抵抗器　3type</t>
  </si>
  <si>
    <t>QRZ</t>
  </si>
  <si>
    <t>ﾒﾙﾌ型固定抵抗器　2type</t>
  </si>
  <si>
    <t>QRY</t>
  </si>
  <si>
    <t>QRX</t>
  </si>
  <si>
    <t>ﾒﾙﾌ型固定抵抗器　5type</t>
  </si>
  <si>
    <t>QRW</t>
  </si>
  <si>
    <t>ﾒﾙﾌ型固定抵抗器　4type</t>
  </si>
  <si>
    <t>QRV</t>
  </si>
  <si>
    <t>素地</t>
  </si>
  <si>
    <t>QR3</t>
  </si>
  <si>
    <t>PTZ</t>
  </si>
  <si>
    <t>PTX</t>
  </si>
  <si>
    <t>PTW</t>
  </si>
  <si>
    <t>PTV</t>
  </si>
  <si>
    <t>LC.複合部品</t>
  </si>
  <si>
    <t>PL*</t>
  </si>
  <si>
    <t>リングバリスタ（Ｖ～Ｙ以外）</t>
  </si>
  <si>
    <t>NVZ</t>
  </si>
  <si>
    <t>リングバリスタ（側面品）</t>
  </si>
  <si>
    <t>NVY</t>
  </si>
  <si>
    <t>リングバリスタ（小型品）</t>
  </si>
  <si>
    <t>NVX</t>
  </si>
  <si>
    <t>リングバリスタ（標準品その他）</t>
  </si>
  <si>
    <t>NVW</t>
  </si>
  <si>
    <t>リングバリスタ（大型品）</t>
  </si>
  <si>
    <t>NVV</t>
  </si>
  <si>
    <t>NV8</t>
  </si>
  <si>
    <t>NV3</t>
  </si>
  <si>
    <t>NV2</t>
  </si>
  <si>
    <t>NV1</t>
  </si>
  <si>
    <t>リングバリスタ</t>
  </si>
  <si>
    <t>NV*</t>
  </si>
  <si>
    <t>積層チップバリスタ　その他</t>
  </si>
  <si>
    <t>NKZ</t>
  </si>
  <si>
    <t>積層チップバリスタ　1005type</t>
  </si>
  <si>
    <t>NKW</t>
  </si>
  <si>
    <t>素子</t>
  </si>
  <si>
    <t>NK9</t>
  </si>
  <si>
    <t>NK8</t>
  </si>
  <si>
    <t>積層チップバリスタ工程仕掛品</t>
  </si>
  <si>
    <t>NK3</t>
  </si>
  <si>
    <t>積層チップバリスタ成膜工程</t>
  </si>
  <si>
    <t>NK2</t>
  </si>
  <si>
    <t>積層チップバリスタ素地</t>
  </si>
  <si>
    <t>NK1</t>
  </si>
  <si>
    <t>積層チップバリスタ</t>
  </si>
  <si>
    <t>NK*</t>
  </si>
  <si>
    <t>NFZ</t>
  </si>
  <si>
    <t>NFY</t>
  </si>
  <si>
    <t>NFX</t>
  </si>
  <si>
    <t>NF8</t>
  </si>
  <si>
    <t>NF2</t>
  </si>
  <si>
    <t>NF1</t>
  </si>
  <si>
    <t>スパークギャップ</t>
  </si>
  <si>
    <t>KK*</t>
  </si>
  <si>
    <t>積層タイプ圧電スピーカー</t>
  </si>
  <si>
    <t>CS*</t>
  </si>
  <si>
    <t>部品内臓多層基板（EOMIN）</t>
  </si>
  <si>
    <t>INZ</t>
  </si>
  <si>
    <t>INY</t>
  </si>
  <si>
    <t>INX</t>
  </si>
  <si>
    <t>INW</t>
  </si>
  <si>
    <t>EOMIN太化ｻﾝﾌﾟﾙ対応</t>
  </si>
  <si>
    <t>INR</t>
  </si>
  <si>
    <t>EOMINコイル</t>
  </si>
  <si>
    <t>INL</t>
  </si>
  <si>
    <t>EOMINﾓｼﾞｭｰﾙ</t>
  </si>
  <si>
    <t>IN1</t>
  </si>
  <si>
    <t>IN*</t>
  </si>
  <si>
    <t>無線モジュールその他</t>
  </si>
  <si>
    <t>GTZ</t>
  </si>
  <si>
    <t>無線モジュール（ＧＰＳ）</t>
  </si>
  <si>
    <t>GTY</t>
  </si>
  <si>
    <t>無線モジュール（Ｗ－ＬＡＮ）</t>
  </si>
  <si>
    <t>GTX</t>
  </si>
  <si>
    <t>無線モジュール（Ｆｕｌｌ）</t>
  </si>
  <si>
    <t>GTW</t>
  </si>
  <si>
    <t>無線モジュール（ＲＦ）</t>
  </si>
  <si>
    <t>GTV</t>
  </si>
  <si>
    <t>無線モジュール</t>
  </si>
  <si>
    <t>GT*</t>
  </si>
  <si>
    <t>EOMIN基板使用_無線ﾓｼﾞｭｰﾙ</t>
  </si>
  <si>
    <t>GE*</t>
  </si>
  <si>
    <t>GAZ</t>
  </si>
  <si>
    <t>GAY</t>
  </si>
  <si>
    <t>GAX</t>
  </si>
  <si>
    <t>GAW</t>
  </si>
  <si>
    <t>GA*</t>
  </si>
  <si>
    <t>WPZ</t>
  </si>
  <si>
    <t>WPY</t>
  </si>
  <si>
    <t>WPX</t>
  </si>
  <si>
    <t>WPW</t>
  </si>
  <si>
    <t>WPV</t>
  </si>
  <si>
    <t>WFZ</t>
  </si>
  <si>
    <t>WFY</t>
  </si>
  <si>
    <t>WFX</t>
  </si>
  <si>
    <t>WFW</t>
  </si>
  <si>
    <t>WFV</t>
  </si>
  <si>
    <t>電源事業購入販売品（ｴﾈﾙｷﾞｰ市場向け）その他</t>
  </si>
  <si>
    <t>SPZ</t>
  </si>
  <si>
    <t>発電制御用購入販売品</t>
  </si>
  <si>
    <t>SPX</t>
  </si>
  <si>
    <t>ﾊﾞｯﾃﾘｰﾏﾈｼﾞﾒﾝﾄｼｽﾃﾑ用購入販売品</t>
  </si>
  <si>
    <t>SPW</t>
  </si>
  <si>
    <t>駆動ｼｽﾃﾑ用購入販売品</t>
  </si>
  <si>
    <t>SPV</t>
  </si>
  <si>
    <t>電源ﾓｼﾞｭｰﾙ（ｴﾈﾙｷﾞｰ市場向け）その他</t>
  </si>
  <si>
    <t>SFZ</t>
  </si>
  <si>
    <t>発電制御用電源ﾓｼﾞｭｰﾙ</t>
  </si>
  <si>
    <t>SFX</t>
  </si>
  <si>
    <t>ﾊﾞｯﾃﾘｰﾏﾈｼﾞﾒﾝﾄｼｽﾃﾑ用電源ﾓｼﾞｭｰﾙ</t>
  </si>
  <si>
    <t>SFW</t>
  </si>
  <si>
    <t>駆動ｼｽﾃﾑ用電源ﾓｼﾞｭｰﾙ</t>
  </si>
  <si>
    <t>SFV</t>
  </si>
  <si>
    <t>SF*</t>
  </si>
  <si>
    <t>EOMIN基板使用_電源ﾓｼﾞｭｰﾙ</t>
  </si>
  <si>
    <t>SE*</t>
  </si>
  <si>
    <t>KTY_電池保護ﾓｼﾞｭｰﾙ</t>
  </si>
  <si>
    <t>SAS</t>
  </si>
  <si>
    <t>ｽｲｯﾁﾝｸﾞ電源</t>
  </si>
  <si>
    <t>SAP</t>
  </si>
  <si>
    <t>FY2012~KTY_LED照明向け</t>
  </si>
  <si>
    <t>SAE</t>
  </si>
  <si>
    <t>JTYEMS仕入</t>
  </si>
  <si>
    <t>SAC</t>
  </si>
  <si>
    <t>KTYEMS</t>
  </si>
  <si>
    <t>KTY_ﾊﾟｯｸﾗｲﾄｲﾝﾊﾞｰﾀｰﾓｼﾞｭｰﾙ</t>
  </si>
  <si>
    <t>SAA</t>
  </si>
  <si>
    <t>JTY_SAその他</t>
  </si>
  <si>
    <t>SA1</t>
  </si>
  <si>
    <t>SA*</t>
  </si>
  <si>
    <t>混成集積回路(ﾏｻﾞｰﾎﾞｰﾄﾞP板IC)</t>
  </si>
  <si>
    <t>IT*</t>
  </si>
  <si>
    <t>混成集積回路･ｱｸﾃｲﾌﾞﾌｲﾙﾀｰ</t>
  </si>
  <si>
    <t>IS*</t>
  </si>
  <si>
    <t>パワーアンプ</t>
  </si>
  <si>
    <t>IPA</t>
  </si>
  <si>
    <t>IP*</t>
  </si>
  <si>
    <t>IC5</t>
  </si>
  <si>
    <t>IC1</t>
  </si>
  <si>
    <t>厚膜回路基板</t>
  </si>
  <si>
    <t>IB*</t>
  </si>
  <si>
    <t>フェライトインダクタ（特別販売品）</t>
  </si>
  <si>
    <t>ZF*</t>
  </si>
  <si>
    <t>MA*</t>
  </si>
  <si>
    <t>ＥＭＩ除去フィルター</t>
  </si>
  <si>
    <t>LT*</t>
  </si>
  <si>
    <t>コア</t>
  </si>
  <si>
    <t>LS1</t>
  </si>
  <si>
    <t>Ｓ型インダクター</t>
  </si>
  <si>
    <t>LS*</t>
  </si>
  <si>
    <t>リング型インダクター</t>
  </si>
  <si>
    <t>LRZ</t>
  </si>
  <si>
    <t>LRX</t>
  </si>
  <si>
    <t>LRW</t>
  </si>
  <si>
    <t>LRV</t>
  </si>
  <si>
    <t>LR7</t>
  </si>
  <si>
    <t>LR3</t>
  </si>
  <si>
    <t>LR1</t>
  </si>
  <si>
    <t>LPY</t>
  </si>
  <si>
    <t>LP3</t>
  </si>
  <si>
    <t>LP*</t>
  </si>
  <si>
    <t>ﾏﾝｶﾞﾝｼﾞﾝｸﾌｪﾗｲﾄ応用商品</t>
  </si>
  <si>
    <t>LMZ</t>
  </si>
  <si>
    <t>ｽｰﾊﾟｰﾌﾚｷｼﾌﾞﾙ電派吸収ｼｰﾄ</t>
  </si>
  <si>
    <t>LJ*</t>
  </si>
  <si>
    <t>Ｈ型インダクター</t>
  </si>
  <si>
    <t>LHZ</t>
  </si>
  <si>
    <t>LHY</t>
  </si>
  <si>
    <t>LHX</t>
  </si>
  <si>
    <t>LHW</t>
  </si>
  <si>
    <t>LHV</t>
  </si>
  <si>
    <t>LH1</t>
  </si>
  <si>
    <t>LH*</t>
  </si>
  <si>
    <t>LAZ</t>
  </si>
  <si>
    <t>LAY</t>
  </si>
  <si>
    <t>LAX</t>
  </si>
  <si>
    <t>LAW</t>
  </si>
  <si>
    <t>LAV</t>
  </si>
  <si>
    <t>LAS</t>
  </si>
  <si>
    <t>LA1</t>
  </si>
  <si>
    <t>FD以外のｿﾌﾄﾌｪﾗｲﾄ</t>
  </si>
  <si>
    <t>FF*</t>
  </si>
  <si>
    <t>FBZ</t>
  </si>
  <si>
    <t>FBV</t>
  </si>
  <si>
    <t>FBS</t>
  </si>
  <si>
    <t>FB1</t>
  </si>
  <si>
    <t>MSW</t>
  </si>
  <si>
    <t>MS3</t>
  </si>
  <si>
    <t>MS*</t>
  </si>
  <si>
    <t>LRY</t>
  </si>
  <si>
    <t>LRYコア</t>
  </si>
  <si>
    <t>LR2</t>
  </si>
  <si>
    <t>角型巻線チップインダクタサンプル他</t>
  </si>
  <si>
    <t>LQZ</t>
  </si>
  <si>
    <t>角型巻線チップインダクタ2518タイプ</t>
  </si>
  <si>
    <t>LQY</t>
  </si>
  <si>
    <t>角型巻線チップインダクタ2016タイプ</t>
  </si>
  <si>
    <t>LQX</t>
  </si>
  <si>
    <t>角型巻線チップインダクタ2012タイプ</t>
  </si>
  <si>
    <t>LQW</t>
  </si>
  <si>
    <t>角型巻線チップインダクタ1608タイプ</t>
  </si>
  <si>
    <t>LQV</t>
  </si>
  <si>
    <t>LQU</t>
  </si>
  <si>
    <t>LQS</t>
  </si>
  <si>
    <t>角型巻線チップインダクタ</t>
  </si>
  <si>
    <t>LQR</t>
  </si>
  <si>
    <t>LQ9</t>
  </si>
  <si>
    <t>LQ樹脂ﾊﾟｳﾀﾞｰ</t>
  </si>
  <si>
    <t>LQ8</t>
  </si>
  <si>
    <t>LQSコア</t>
  </si>
  <si>
    <t>LQ6</t>
  </si>
  <si>
    <t>中紀→月夜野部材</t>
  </si>
  <si>
    <t>LQ5</t>
  </si>
  <si>
    <t>LQ3</t>
  </si>
  <si>
    <t>LQ2</t>
  </si>
  <si>
    <t>LQ1</t>
  </si>
  <si>
    <t>LQ*</t>
  </si>
  <si>
    <t>トランスチョークＮＰ０３，０４</t>
  </si>
  <si>
    <t>LMY</t>
  </si>
  <si>
    <t>SMDインダクタ</t>
  </si>
  <si>
    <t>LMX</t>
  </si>
  <si>
    <t>LMW</t>
  </si>
  <si>
    <t>パワーインダクタ</t>
  </si>
  <si>
    <t>LMV</t>
  </si>
  <si>
    <t>LMS</t>
  </si>
  <si>
    <t>SMDインダクタ（大電流スリーブタイプ）</t>
  </si>
  <si>
    <t>LMR</t>
  </si>
  <si>
    <t>トランスチョークＮＰ０４</t>
  </si>
  <si>
    <t>LMP</t>
  </si>
  <si>
    <t>トランスチョークＮＰ０３</t>
  </si>
  <si>
    <t>LMO</t>
  </si>
  <si>
    <t>LM樹脂ﾊﾟｳﾀﾞｰ</t>
  </si>
  <si>
    <t>LM8</t>
  </si>
  <si>
    <t>LMS素地</t>
  </si>
  <si>
    <t>LM7</t>
  </si>
  <si>
    <t>LMX再ﾃｰﾋﾟﾝｸﾞ品PTY送り</t>
  </si>
  <si>
    <t>LM5</t>
  </si>
  <si>
    <t>LMX素地</t>
  </si>
  <si>
    <t>LM4</t>
  </si>
  <si>
    <t>LM3</t>
  </si>
  <si>
    <t>LMV素地</t>
  </si>
  <si>
    <t>LM2</t>
  </si>
  <si>
    <t>LMY素地</t>
  </si>
  <si>
    <t>LM1</t>
  </si>
  <si>
    <t>LEZ</t>
  </si>
  <si>
    <t>LEY</t>
  </si>
  <si>
    <t>LEX</t>
  </si>
  <si>
    <t>LEW</t>
  </si>
  <si>
    <t>LEV</t>
  </si>
  <si>
    <t>LE樹脂ﾊﾟｳﾀﾞｰ</t>
  </si>
  <si>
    <t>LE8</t>
  </si>
  <si>
    <t>LE3</t>
  </si>
  <si>
    <t>LE1</t>
  </si>
  <si>
    <t>Mコイル材料</t>
  </si>
  <si>
    <t>LD8</t>
  </si>
  <si>
    <t>L15</t>
  </si>
  <si>
    <t>L12</t>
  </si>
  <si>
    <t>FM9</t>
  </si>
  <si>
    <t>FM8</t>
  </si>
  <si>
    <t>FM7</t>
  </si>
  <si>
    <t>FM6</t>
  </si>
  <si>
    <t>チップビーズインダクタ_その他</t>
  </si>
  <si>
    <t>FCZ</t>
  </si>
  <si>
    <t>チップビーズインダクタ_直線タイプ</t>
  </si>
  <si>
    <t>FCY</t>
  </si>
  <si>
    <t>チップビーズインダクタ_巻線タイプ</t>
  </si>
  <si>
    <t>FCX</t>
  </si>
  <si>
    <t>ヘリカルチップアンテナ</t>
  </si>
  <si>
    <t>FCW</t>
  </si>
  <si>
    <t>FC8</t>
  </si>
  <si>
    <t>FC1</t>
  </si>
  <si>
    <t>FC*</t>
  </si>
  <si>
    <t>積層チップパワーインダクタ（メタル）標準品</t>
  </si>
  <si>
    <t>MFW</t>
  </si>
  <si>
    <t>MFシート</t>
  </si>
  <si>
    <t>MF9</t>
  </si>
  <si>
    <t>MF*</t>
  </si>
  <si>
    <t>積層コモンモードフィルタ</t>
  </si>
  <si>
    <t>LRS</t>
  </si>
  <si>
    <t>高周波積層型ﾁｯﾌﾟｲﾝﾀﾞｸﾀｰ（その他）</t>
  </si>
  <si>
    <t>LGZ</t>
  </si>
  <si>
    <t>高周波積層型ﾁｯﾌﾟｲﾝﾀﾞｸﾀｰ（0603 type）</t>
  </si>
  <si>
    <t>LGX</t>
  </si>
  <si>
    <t>高周波積層型ﾁｯﾌﾟｲﾝﾀﾞｸﾀｰ（1005 type）</t>
  </si>
  <si>
    <t>LGW</t>
  </si>
  <si>
    <t>高周波積層型ﾁｯﾌﾟｲﾝﾀﾞｸﾀｰ（1608,2125 type）</t>
  </si>
  <si>
    <t>LGV</t>
  </si>
  <si>
    <t>LG9</t>
  </si>
  <si>
    <t>LG3</t>
  </si>
  <si>
    <t>LG2</t>
  </si>
  <si>
    <t>LG1</t>
  </si>
  <si>
    <t>高周波積層型ﾁｯﾌﾟｲﾝﾀﾞｸﾀｰ</t>
  </si>
  <si>
    <t>LG*</t>
  </si>
  <si>
    <t>積層チップインダクター（その他）</t>
  </si>
  <si>
    <t>LFZ</t>
  </si>
  <si>
    <t>積層チップインダクター（LK type）</t>
  </si>
  <si>
    <t>LFY</t>
  </si>
  <si>
    <t>積層チップインダクター（BK type一般品）</t>
  </si>
  <si>
    <t>LFX</t>
  </si>
  <si>
    <t>積層チップインダクター（BK type1005）</t>
  </si>
  <si>
    <t>LFW</t>
  </si>
  <si>
    <t>積層チップインダクター（BK typeアレイ）</t>
  </si>
  <si>
    <t>LFV</t>
  </si>
  <si>
    <t>LFS</t>
  </si>
  <si>
    <t>積層チップパワーインダクタ（CKP type）</t>
  </si>
  <si>
    <t>LFR</t>
  </si>
  <si>
    <t>LF8</t>
  </si>
  <si>
    <t>LF7</t>
  </si>
  <si>
    <t>LF3</t>
  </si>
  <si>
    <t>LF2</t>
  </si>
  <si>
    <t>LF1</t>
  </si>
  <si>
    <t>積層チップパワーインダクタ</t>
  </si>
  <si>
    <t>LF*</t>
  </si>
  <si>
    <t>ＰＡＳ電極工程</t>
  </si>
  <si>
    <t>XUX</t>
  </si>
  <si>
    <t>シリンダ型ＰＡＳ</t>
  </si>
  <si>
    <t>XUB</t>
  </si>
  <si>
    <t>コイン型ＰＡＳ</t>
  </si>
  <si>
    <t>XUA</t>
  </si>
  <si>
    <t>薄型ﾎﾟﾘｱｾﾝｷｬﾊﾟｼﾀ</t>
  </si>
  <si>
    <t>CPX</t>
  </si>
  <si>
    <t>ｼﾘﾀﾞ型ﾎﾟﾘｱｾﾝｷｬﾊﾟｼﾀ</t>
  </si>
  <si>
    <t>CPW</t>
  </si>
  <si>
    <t>ｺｲﾝ型PASｷｬﾊﾟｼﾀ</t>
  </si>
  <si>
    <t>CPV</t>
  </si>
  <si>
    <t>角型ﾎﾟﾘｱｾﾝｷｬﾊﾟｼﾀ</t>
  </si>
  <si>
    <t>CPR</t>
  </si>
  <si>
    <t>CPV半製品_JETY-&gt;CVTY</t>
  </si>
  <si>
    <t>CP1</t>
  </si>
  <si>
    <t>ﾗﾐﾈｰﾄ型大容量ﾘﾁｳﾑｲｵﾝｷｬﾊﾟｼﾀ</t>
  </si>
  <si>
    <t>CLY</t>
  </si>
  <si>
    <t>薄型ﾘﾁｳﾑｲｵﾝｷｬﾊﾟｼﾀ</t>
  </si>
  <si>
    <t>CLX</t>
  </si>
  <si>
    <t>ｼﾘﾝﾀﾞ型ﾘﾁｳﾑｲｵﾝｷｬﾊﾟｼﾀ</t>
  </si>
  <si>
    <t>CLW</t>
  </si>
  <si>
    <t>ﾘﾁｳﾑｲｵﾝｷｬﾊﾟｼﾀ</t>
  </si>
  <si>
    <t>CL*</t>
  </si>
  <si>
    <t>UBL円板ｺﾝﾃﾞﾝｻ</t>
  </si>
  <si>
    <t>UZ*</t>
  </si>
  <si>
    <t>円板貫通型ｺﾝﾃﾞﾝｻ</t>
  </si>
  <si>
    <t>UEZ</t>
  </si>
  <si>
    <t>UEY</t>
  </si>
  <si>
    <t>UEX</t>
  </si>
  <si>
    <t>UE4</t>
  </si>
  <si>
    <t>UE3</t>
  </si>
  <si>
    <t>UE2</t>
  </si>
  <si>
    <t>UE1</t>
  </si>
  <si>
    <t>UE*</t>
  </si>
  <si>
    <t>RLZ</t>
  </si>
  <si>
    <t>RLY</t>
  </si>
  <si>
    <t>RLX</t>
  </si>
  <si>
    <t>RL9</t>
  </si>
  <si>
    <t>円筒ｱｷｼｬﾙ型ｺﾝﾃﾞﾝｻ　その他</t>
  </si>
  <si>
    <t>RHZ</t>
  </si>
  <si>
    <t>円筒ｱｷｼｬﾙ型ｺﾝﾃﾞﾝｻ　050type</t>
  </si>
  <si>
    <t>RHY</t>
  </si>
  <si>
    <t>円筒ｱｷｼｬﾙ型ｺﾝﾃﾞﾝｻ　100,125,250type</t>
  </si>
  <si>
    <t>RHX</t>
  </si>
  <si>
    <t>円筒ｱｷｼｬﾙ型ｺﾝﾃﾞﾝｻ　025type</t>
  </si>
  <si>
    <t>RHW</t>
  </si>
  <si>
    <t>RH4</t>
  </si>
  <si>
    <t>RH3</t>
  </si>
  <si>
    <t>RH2</t>
  </si>
  <si>
    <t>RH1</t>
  </si>
  <si>
    <t>RF4</t>
  </si>
  <si>
    <t>RF3</t>
  </si>
  <si>
    <t>RF2</t>
  </si>
  <si>
    <t>RF1</t>
  </si>
  <si>
    <t>ＵＳ型円筒ｺﾝﾃﾞﾝｻ</t>
  </si>
  <si>
    <t>RF*</t>
  </si>
  <si>
    <t>円筒ﾁｯﾌﾟ型ｺﾝﾃﾞﾝｻ　033type</t>
  </si>
  <si>
    <t>REZ</t>
  </si>
  <si>
    <t>円筒ﾁｯﾌﾟ型ｺﾝﾃﾞﾝｻ　053type</t>
  </si>
  <si>
    <t>REY</t>
  </si>
  <si>
    <t>円筒ﾁｯﾌﾟ型ｺﾝﾃﾞﾝｻ　103,153type</t>
  </si>
  <si>
    <t>REX</t>
  </si>
  <si>
    <t>円筒ﾁｯﾌﾟ型ｺﾝﾃﾞﾝｻ　その他</t>
  </si>
  <si>
    <t>REW</t>
  </si>
  <si>
    <t>RE7</t>
  </si>
  <si>
    <t>RE6</t>
  </si>
  <si>
    <t>RE5</t>
  </si>
  <si>
    <t>RE4</t>
  </si>
  <si>
    <t>RE3</t>
  </si>
  <si>
    <t>RE2</t>
  </si>
  <si>
    <t>RE1</t>
  </si>
  <si>
    <t>KEMET製タンタルコンデンサ</t>
  </si>
  <si>
    <t>CT*</t>
  </si>
  <si>
    <t>KEMET製積層セラミックコンデンサ</t>
  </si>
  <si>
    <t>CK*</t>
  </si>
  <si>
    <t>CHZ</t>
  </si>
  <si>
    <t>CHY</t>
  </si>
  <si>
    <t>CHX</t>
  </si>
  <si>
    <t>CHW</t>
  </si>
  <si>
    <t>CHV</t>
  </si>
  <si>
    <t>エルナー社製アルミニウム電解コンデンサ</t>
  </si>
  <si>
    <t>CA*</t>
  </si>
  <si>
    <t>積層セラミックコンデンサ（特別販売品）</t>
  </si>
  <si>
    <t>ZC*</t>
  </si>
  <si>
    <t>XKO</t>
  </si>
  <si>
    <t>太化外注メッキ（グループ内）</t>
  </si>
  <si>
    <t>XKM</t>
  </si>
  <si>
    <t>太化外注素子検査・出荷</t>
  </si>
  <si>
    <t>XKI</t>
  </si>
  <si>
    <t>高周波積層ｾﾗﾐｯｸｺﾝﾃﾞﾝｻその他</t>
  </si>
  <si>
    <t>RVZ</t>
  </si>
  <si>
    <t>高周波積層ｾﾗﾐｯｸｺﾝﾃﾞﾝｻ0402タイプ</t>
  </si>
  <si>
    <t>RVY</t>
  </si>
  <si>
    <t>高周波積層ｾﾗﾐｯｸｺﾝﾃﾞﾝｻ1005タイプ</t>
  </si>
  <si>
    <t>RVW</t>
  </si>
  <si>
    <t>高周波積層ｾﾗﾐｯｸｺﾝﾃﾞﾝｻ0603タイプ</t>
  </si>
  <si>
    <t>RVV</t>
  </si>
  <si>
    <t>RVS</t>
  </si>
  <si>
    <t>高周波積層ｾﾗﾐｯｸｺﾝﾃﾞﾝｻ材料</t>
  </si>
  <si>
    <t>RVM</t>
  </si>
  <si>
    <t>高周波積層ｾﾗﾐｯｸｺﾝﾃﾞﾝｻ工程仕掛品</t>
  </si>
  <si>
    <t>RV9</t>
  </si>
  <si>
    <t>RV3</t>
  </si>
  <si>
    <t>高周波積層型磁器ｺﾝﾃﾞﾝｻ</t>
  </si>
  <si>
    <t>RV*</t>
  </si>
  <si>
    <t>RMZ</t>
  </si>
  <si>
    <t>RMY</t>
  </si>
  <si>
    <t>RMX</t>
  </si>
  <si>
    <t>RMW</t>
  </si>
  <si>
    <t>RMV</t>
  </si>
  <si>
    <t>積層ｺﾝﾃﾞﾝｻ_0201type</t>
  </si>
  <si>
    <t>RMS</t>
  </si>
  <si>
    <t>RMJ</t>
  </si>
  <si>
    <t>RMB</t>
  </si>
  <si>
    <t>RM9</t>
  </si>
  <si>
    <t>RM8</t>
  </si>
  <si>
    <t>RM7</t>
  </si>
  <si>
    <t>RM4</t>
  </si>
  <si>
    <t>RM3</t>
  </si>
  <si>
    <t>RM2</t>
  </si>
  <si>
    <t>RM1</t>
  </si>
  <si>
    <t>RM*</t>
  </si>
  <si>
    <t>高信頼性用セラミックコンデンサ</t>
  </si>
  <si>
    <t>CQ*</t>
  </si>
  <si>
    <t>COMMON_MLCC</t>
  </si>
  <si>
    <t>ＲＣＸ－２３２６準拠積層セラミックコンデンサ</t>
  </si>
  <si>
    <t>CN*</t>
  </si>
  <si>
    <t>中高圧積層セラミックｺﾝﾃﾞﾝｻ　その他</t>
  </si>
  <si>
    <t>CGZ</t>
  </si>
  <si>
    <t>中高圧積層セラミックｺﾝﾃﾞﾝｻ　1608-4532タイプ</t>
  </si>
  <si>
    <t>CGX</t>
  </si>
  <si>
    <t>中高圧積層セラミックｺﾝﾃﾞﾝｻ　1005タイプ</t>
  </si>
  <si>
    <t>CGW</t>
  </si>
  <si>
    <t>CGR</t>
  </si>
  <si>
    <t>中高耐圧積層セラミックコンデンサ素子（電解メッキ仕上がり品）</t>
  </si>
  <si>
    <t>中高圧積層ｾﾗﾐｯｸｺﾝﾃﾞﾝｻ</t>
  </si>
  <si>
    <t>CG*</t>
  </si>
  <si>
    <t>ＣＦサンプル</t>
  </si>
  <si>
    <t>CFZ</t>
  </si>
  <si>
    <t>超低歪積層セラミックコンデンサ</t>
  </si>
  <si>
    <t>CFW</t>
  </si>
  <si>
    <t>音鳴き対策積層セラミックコンデンサ</t>
  </si>
  <si>
    <t>CFV</t>
  </si>
  <si>
    <t>超低歪積層ｾﾗﾐｯｸｺﾝﾃﾞﾝｻ工程仕掛品</t>
  </si>
  <si>
    <t>CF9</t>
  </si>
  <si>
    <t>CF7</t>
  </si>
  <si>
    <t>CF3</t>
  </si>
  <si>
    <t>CF1</t>
  </si>
  <si>
    <t>超低歪積層ｾﾗﾐｯｸｺﾝﾃﾞﾝｻ</t>
  </si>
  <si>
    <t>CF*</t>
  </si>
  <si>
    <t>Ｎｉ電極積層ﾁｯﾌﾟｺﾝﾃﾞﾝｻ_サンプル品</t>
  </si>
  <si>
    <t>CEZ</t>
  </si>
  <si>
    <t>Ｎｉ電極積層ﾁｯﾌﾟｺﾝﾃﾞﾝｻ_107以上</t>
  </si>
  <si>
    <t>CEX</t>
  </si>
  <si>
    <t>CEJ</t>
  </si>
  <si>
    <t>CEB</t>
  </si>
  <si>
    <t>CE9</t>
  </si>
  <si>
    <t>CE積層ｺﾝﾃﾞﾝｻ用材料</t>
  </si>
  <si>
    <t>CE8</t>
  </si>
  <si>
    <t>CE7</t>
  </si>
  <si>
    <t>CE5</t>
  </si>
  <si>
    <t>CEY素子</t>
  </si>
  <si>
    <t>CE4</t>
  </si>
  <si>
    <t>Ni系電極大容量積層ｺﾝﾃﾞﾝｻ（電極ﾒｯｷ上がり品）</t>
  </si>
  <si>
    <t>CE3</t>
  </si>
  <si>
    <t>積層チップコンデンサＣｕメッキ</t>
  </si>
  <si>
    <t>CE2</t>
  </si>
  <si>
    <t>Ni系電極大容量積層ｺﾝﾃﾞﾝｻ（焼成上がり品）</t>
  </si>
  <si>
    <t>CE1</t>
  </si>
  <si>
    <t>Ni系電極大容量積層ｺﾝﾃﾞﾝｻ</t>
  </si>
  <si>
    <t>CE*</t>
  </si>
  <si>
    <t>小細分類
XYZ</t>
    <rPh sb="0" eb="1">
      <t>ショウ</t>
    </rPh>
    <rPh sb="1" eb="2">
      <t>サイ</t>
    </rPh>
    <rPh sb="2" eb="4">
      <t>ブンルイ</t>
    </rPh>
    <phoneticPr fontId="6"/>
  </si>
  <si>
    <t>セグメント名
SegmentName</t>
    <rPh sb="5" eb="6">
      <t>メイ</t>
    </rPh>
    <phoneticPr fontId="6"/>
  </si>
  <si>
    <t>NO</t>
  </si>
  <si>
    <t>セグメント&amp;小細分類/Segment&amp;XYZ</t>
    <rPh sb="6" eb="7">
      <t>ショウ</t>
    </rPh>
    <rPh sb="7" eb="8">
      <t>サイ</t>
    </rPh>
    <rPh sb="8" eb="10">
      <t>ブンルイ</t>
    </rPh>
    <phoneticPr fontId="6"/>
  </si>
  <si>
    <t>CEY</t>
  </si>
  <si>
    <t>（Ａ）</t>
  </si>
  <si>
    <t>（Ｂ）</t>
  </si>
  <si>
    <t>（Ｃ）</t>
  </si>
  <si>
    <t>（Ｄ）</t>
  </si>
  <si>
    <t>（E）</t>
  </si>
  <si>
    <t>（F）</t>
  </si>
  <si>
    <t>MLCC</t>
  </si>
  <si>
    <t>R&amp;D_MLCC</t>
  </si>
  <si>
    <t>SGA_MLCC</t>
  </si>
  <si>
    <t>Condenser</t>
  </si>
  <si>
    <t>CH*</t>
  </si>
  <si>
    <t>RE*</t>
  </si>
  <si>
    <t>RH*</t>
  </si>
  <si>
    <t>RL*</t>
  </si>
  <si>
    <t>COMMON_Condenser</t>
  </si>
  <si>
    <t>R&amp;D_Condenser</t>
  </si>
  <si>
    <t>SGA_Condenser</t>
  </si>
  <si>
    <t>MLCI</t>
  </si>
  <si>
    <t>COMMON_MLCI</t>
  </si>
  <si>
    <t>R&amp;D_MLCI</t>
  </si>
  <si>
    <t>SGA_MLCI</t>
  </si>
  <si>
    <t>Ferrite &amp; Inductor-SMD</t>
  </si>
  <si>
    <t>FM*</t>
  </si>
  <si>
    <t>LE*</t>
  </si>
  <si>
    <t>LM*</t>
  </si>
  <si>
    <t>COMMON_Ferrite &amp; Inductor-SMD</t>
  </si>
  <si>
    <t>R&amp;D_Ferrite &amp; Inductor-SMD</t>
  </si>
  <si>
    <t>SGA_Ferrite &amp; Inductor-SMD</t>
  </si>
  <si>
    <t>Ferrite &amp; Inductor-With Lead</t>
  </si>
  <si>
    <t>FB*</t>
  </si>
  <si>
    <t>LA*</t>
  </si>
  <si>
    <t>LR*</t>
  </si>
  <si>
    <t>COMMON_Ferrite &amp; Inductor-With Lead</t>
  </si>
  <si>
    <t>R&amp;D_Ferrite &amp; Inductor-With Lead</t>
  </si>
  <si>
    <t>SGA_Ferrite &amp; Inductor-With Lead</t>
  </si>
  <si>
    <t>Power Supply Module</t>
  </si>
  <si>
    <t>IC*</t>
  </si>
  <si>
    <t>SP*</t>
  </si>
  <si>
    <t>COMMON_Power Supply Module</t>
  </si>
  <si>
    <t>R&amp;D_Power Supply Module</t>
  </si>
  <si>
    <t>SGA_Power Supply Module</t>
  </si>
  <si>
    <t>Wireless Module</t>
  </si>
  <si>
    <t>COMMON_Wireless Module</t>
  </si>
  <si>
    <t>R&amp;D_Wireless Module</t>
  </si>
  <si>
    <t>SGA_Wireless Module</t>
  </si>
  <si>
    <t>EOMIN</t>
  </si>
  <si>
    <t>COMMON_EOMIN</t>
  </si>
  <si>
    <t>R&amp;D_EOMIN</t>
  </si>
  <si>
    <t>SGA_EOMIN</t>
  </si>
  <si>
    <t>PG</t>
  </si>
  <si>
    <t>COMMON_PG</t>
  </si>
  <si>
    <t>R&amp;D_PG</t>
  </si>
  <si>
    <t>SGA_PG</t>
  </si>
  <si>
    <t>Device</t>
  </si>
  <si>
    <t>GF*</t>
  </si>
  <si>
    <t>COMMON_Device</t>
  </si>
  <si>
    <t>R&amp;D_Device</t>
  </si>
  <si>
    <t>SGA_Device</t>
  </si>
  <si>
    <t>C-Ceramics</t>
  </si>
  <si>
    <t>NF*</t>
  </si>
  <si>
    <t>PT*</t>
  </si>
  <si>
    <t>QR*</t>
  </si>
  <si>
    <t>COMMON_C-Ceramics</t>
  </si>
  <si>
    <t>R&amp;D_C-Ceramics</t>
  </si>
  <si>
    <t>SGA_C-Ceramics</t>
  </si>
  <si>
    <t>MLCI-Ceramics</t>
  </si>
  <si>
    <t>COMMON_MLCI-Ceramics</t>
  </si>
  <si>
    <t>R&amp;D_MLCI-Ceramics</t>
  </si>
  <si>
    <t>SGA_MLCI-Ceramics</t>
  </si>
  <si>
    <t>ECD</t>
  </si>
  <si>
    <t>CP*</t>
  </si>
  <si>
    <t>COMMON_ECD</t>
  </si>
  <si>
    <t>R&amp;D_ECD</t>
  </si>
  <si>
    <t>SGA_ECD</t>
  </si>
  <si>
    <t>Other(Electronic Components)</t>
  </si>
  <si>
    <t>COMMON_Other(Electronic Components)</t>
  </si>
  <si>
    <t>R&amp;D_Other(Electronic Components)</t>
  </si>
  <si>
    <t>SGA_Other(Electronic Components)</t>
  </si>
  <si>
    <t>Media</t>
  </si>
  <si>
    <t>COMMON_Media</t>
  </si>
  <si>
    <t>R&amp;D_Media</t>
  </si>
  <si>
    <t>SGA_Media</t>
  </si>
  <si>
    <t>Other(Optical Media &amp; Others)</t>
  </si>
  <si>
    <t>COMMON_Other(Optical Media &amp; Others)</t>
  </si>
  <si>
    <t>R&amp;D_Other(Optical Media &amp; Others)</t>
  </si>
  <si>
    <t>Ｒ＆Ｄ開発中商品</t>
  </si>
  <si>
    <t>ZDV</t>
  </si>
  <si>
    <t>ZDW</t>
  </si>
  <si>
    <t>ZDX</t>
  </si>
  <si>
    <t>ZDY</t>
  </si>
  <si>
    <t>電源モジュール（エネルギー市場向け）</t>
  </si>
  <si>
    <t>事業部</t>
    <rPh sb="0" eb="2">
      <t>ジギョウ</t>
    </rPh>
    <rPh sb="2" eb="3">
      <t>ブ</t>
    </rPh>
    <phoneticPr fontId="2"/>
  </si>
  <si>
    <t>１．ＥＩＳ確認用集計（減損後簿価）</t>
    <rPh sb="5" eb="8">
      <t>カクニンヨウ</t>
    </rPh>
    <rPh sb="8" eb="10">
      <t>シュウケイ</t>
    </rPh>
    <rPh sb="11" eb="13">
      <t>ゲンソン</t>
    </rPh>
    <rPh sb="13" eb="14">
      <t>ゴ</t>
    </rPh>
    <rPh sb="14" eb="16">
      <t>ボカ</t>
    </rPh>
    <phoneticPr fontId="6"/>
  </si>
  <si>
    <t>ＥＩＳ勘定科目</t>
  </si>
  <si>
    <t>帳簿価格</t>
    <rPh sb="0" eb="2">
      <t>チョウボ</t>
    </rPh>
    <rPh sb="2" eb="4">
      <t>カカク</t>
    </rPh>
    <phoneticPr fontId="2"/>
  </si>
  <si>
    <t>差額</t>
    <rPh sb="0" eb="2">
      <t>サガク</t>
    </rPh>
    <phoneticPr fontId="2"/>
  </si>
  <si>
    <t>小細分類
CD</t>
    <rPh sb="0" eb="1">
      <t>ショウ</t>
    </rPh>
    <rPh sb="1" eb="2">
      <t>サイ</t>
    </rPh>
    <rPh sb="2" eb="4">
      <t>ブンルイ</t>
    </rPh>
    <phoneticPr fontId="6"/>
  </si>
  <si>
    <t>SC*</t>
  </si>
  <si>
    <t>単位:現地通貨</t>
    <rPh sb="0" eb="2">
      <t>タンイ</t>
    </rPh>
    <rPh sb="3" eb="5">
      <t>ゲンチ</t>
    </rPh>
    <rPh sb="5" eb="7">
      <t>ツウカ</t>
    </rPh>
    <phoneticPr fontId="6"/>
  </si>
  <si>
    <t>LM9</t>
  </si>
  <si>
    <t>LMS用電極済みコア</t>
  </si>
  <si>
    <t>PS*</t>
  </si>
  <si>
    <t>SAW／FBARデバイス（KTY品）</t>
  </si>
  <si>
    <t>PSW</t>
  </si>
  <si>
    <t>FBARデバイス（KTY品）</t>
  </si>
  <si>
    <t>PSX</t>
  </si>
  <si>
    <t>SAWフィルタ（KTY品）</t>
  </si>
  <si>
    <t>PSY</t>
  </si>
  <si>
    <t>テュプレクサ（KTY品）</t>
  </si>
  <si>
    <t>WBX</t>
  </si>
  <si>
    <t>圧電センサー本体</t>
  </si>
  <si>
    <t>WBY</t>
  </si>
  <si>
    <t>圧電センサーコントロールモジュール</t>
  </si>
  <si>
    <t>WD*</t>
  </si>
  <si>
    <t>非鉛圧電アクチュエータ</t>
  </si>
  <si>
    <t>XPJ</t>
  </si>
  <si>
    <t>KTYSAW外注</t>
  </si>
  <si>
    <t>ZR*</t>
  </si>
  <si>
    <t>通信その他</t>
  </si>
  <si>
    <t>PJV</t>
  </si>
  <si>
    <t>ＳＡＷ／ＦＢＡＲ加工済ウェハ</t>
  </si>
  <si>
    <t>CDV</t>
  </si>
  <si>
    <t>CDW</t>
  </si>
  <si>
    <t>DAV</t>
  </si>
  <si>
    <t>Ｎｉ電極積層ﾁｯﾌﾟｺﾝﾃﾞﾝｻ_異形状, アレイ品、LW逆転</t>
  </si>
  <si>
    <t>積層ｺﾝﾃﾞﾝｻ</t>
  </si>
  <si>
    <t>積層ｺﾝﾃﾞﾝｻ_0603type</t>
  </si>
  <si>
    <t>積層ｺﾝﾃﾞﾝｻ_1005type</t>
  </si>
  <si>
    <t>積層ｺﾝﾃﾞﾝｻ_0402type</t>
  </si>
  <si>
    <t>積層アキシャル型コン０７５</t>
  </si>
  <si>
    <t>積層アキシャル型コン０１５</t>
  </si>
  <si>
    <t>積層アキシャル型コン０５０</t>
  </si>
  <si>
    <t>積層アキシャル型コン０２５</t>
  </si>
  <si>
    <t>積層アキシャル型コン　その他</t>
  </si>
  <si>
    <t>メルフ型円筒ｺﾝﾃﾞﾝｻ　100,125,250type</t>
  </si>
  <si>
    <t>メルフ型円筒ｺﾝﾃﾞﾝｻ　050type</t>
  </si>
  <si>
    <t>メルフ型円筒ｺﾝﾃﾞﾝｻ　その他</t>
  </si>
  <si>
    <t>円板貫通コンデンサ</t>
  </si>
  <si>
    <t>円板貫通型ｺﾝﾃﾞﾝｻ　2.8φ</t>
  </si>
  <si>
    <t>積層チップインダクター（BK type0603）</t>
  </si>
  <si>
    <t>MCタイプMコイル（MCOIL：MC）</t>
  </si>
  <si>
    <t>チップビーズインダクタ及応用品</t>
  </si>
  <si>
    <t>Ｌ　チップ</t>
  </si>
  <si>
    <t>Ｌ　チップ　４５３２　タイプ</t>
  </si>
  <si>
    <t>Ｌ　チップ　３２２５　タイプ</t>
  </si>
  <si>
    <t>Ｌ　チップ　２５２０　タイプ</t>
  </si>
  <si>
    <t>ＬＥ　その他</t>
  </si>
  <si>
    <t>Ｌ　チップ　０１５　タイプ</t>
  </si>
  <si>
    <t>パワーチョークコイル（メタル）（MCOIL：MD）</t>
  </si>
  <si>
    <t>ＳＭＤパワーアンプ</t>
  </si>
  <si>
    <t>ﾁｯﾌﾟﾊﾟﾜｰｲﾝﾀﾞｸﾀ（ﾌｪﾗｲﾄ、ﾒﾀﾙ複合）（MCOIL：MB）</t>
  </si>
  <si>
    <t>メタルベース巻線チップパワーインダクタ（MCOIL：MA）</t>
  </si>
  <si>
    <t>リードレスチョークコイル</t>
  </si>
  <si>
    <t>アキシャル　ビーズコア</t>
  </si>
  <si>
    <t>フェライトビ－ズ（ラジアル）</t>
  </si>
  <si>
    <t>Ｙ以外（ＦＢＡ，ＦＢＲ，ＦＢＣ）</t>
  </si>
  <si>
    <t>アキシャル型　インダクター　コア</t>
  </si>
  <si>
    <t>アキシャルリードインダクタ巻線品</t>
  </si>
  <si>
    <t>ＬＡ　３５タイプ</t>
  </si>
  <si>
    <t>ＬＡ　その他</t>
  </si>
  <si>
    <t>ＬＡ　０２タイプ</t>
  </si>
  <si>
    <t>ＬＡ　０３タイプ</t>
  </si>
  <si>
    <t>ＬＡ　０４タイプ</t>
  </si>
  <si>
    <t>高信頼性向け大型インダクタ</t>
  </si>
  <si>
    <t>リング型　コイル コア</t>
  </si>
  <si>
    <t>リード付き　バルン　コイル</t>
  </si>
  <si>
    <t>リード付き　トロイダル　コイル</t>
  </si>
  <si>
    <t>リード付き　コモンモード　チョークコイル</t>
  </si>
  <si>
    <t>ハード　フェライト</t>
  </si>
  <si>
    <t>部品内蔵多層基板</t>
  </si>
  <si>
    <t>チップアンテナ</t>
  </si>
  <si>
    <t>高周波複合部品［フィルタ］</t>
  </si>
  <si>
    <t>ＰＧ　その他</t>
  </si>
  <si>
    <t>ＳＡＷ／ＢＡＷデバイス</t>
  </si>
  <si>
    <t>複合機能素子(容量性ﾊﾞﾘｽﾀｰN型)</t>
  </si>
  <si>
    <t>複合機能素子(容量性ﾊﾞﾘｽﾀｰH型)</t>
  </si>
  <si>
    <t>複合機能素子(容量性ﾊﾞﾘｽﾀｰﾗﾀﾞｰ型、他)</t>
  </si>
  <si>
    <t>誘電体フィルタ</t>
  </si>
  <si>
    <t>サブレゾ，テュプレクサ</t>
  </si>
  <si>
    <t>誘電体アンテナ，共振器</t>
  </si>
  <si>
    <t>ＰＴ　その他</t>
  </si>
  <si>
    <t>ﾒﾙﾌ型固定抵抗器　1type＋その他</t>
  </si>
  <si>
    <t>記録商品その他</t>
  </si>
  <si>
    <t>旅行</t>
  </si>
  <si>
    <t>商事</t>
  </si>
  <si>
    <t>請負</t>
  </si>
  <si>
    <t>派遣</t>
  </si>
  <si>
    <t>技能実習（団体）</t>
  </si>
  <si>
    <t>駆動システム用購入販売品</t>
  </si>
  <si>
    <t>Ｎｉ電極積層ﾁｯﾌﾟｺﾝﾃﾞﾝｻ_異形状, アレイ品、LW逆転（高信頼性商品）</t>
  </si>
  <si>
    <t>清掃</t>
  </si>
  <si>
    <t>メタル積層チップパワーインダクタ（カップルドインダクタ）</t>
  </si>
  <si>
    <t>CD2</t>
  </si>
  <si>
    <t>CDX</t>
  </si>
  <si>
    <t>エルナー社製電気二重層キャパシタ</t>
  </si>
  <si>
    <t>LR4</t>
  </si>
  <si>
    <t>WH*</t>
  </si>
  <si>
    <t>磁気商品事業部</t>
    <rPh sb="0" eb="2">
      <t>ジキ</t>
    </rPh>
    <rPh sb="2" eb="4">
      <t>ショウヒン</t>
    </rPh>
    <rPh sb="4" eb="6">
      <t>ジギョウ</t>
    </rPh>
    <rPh sb="6" eb="7">
      <t>ブ</t>
    </rPh>
    <phoneticPr fontId="5"/>
  </si>
  <si>
    <t>回路商品事業部</t>
    <rPh sb="0" eb="2">
      <t>カイロ</t>
    </rPh>
    <rPh sb="2" eb="4">
      <t>ショウヒン</t>
    </rPh>
    <rPh sb="4" eb="6">
      <t>ジギョウ</t>
    </rPh>
    <rPh sb="6" eb="7">
      <t>ブ</t>
    </rPh>
    <phoneticPr fontId="4"/>
  </si>
  <si>
    <t>通信デバイス事業部</t>
    <rPh sb="0" eb="2">
      <t>ツウシン</t>
    </rPh>
    <rPh sb="6" eb="8">
      <t>ジギョウ</t>
    </rPh>
    <rPh sb="8" eb="9">
      <t>ブ</t>
    </rPh>
    <phoneticPr fontId="4"/>
  </si>
  <si>
    <t>パワーデバイス事業部</t>
    <rPh sb="7" eb="9">
      <t>ジギョウ</t>
    </rPh>
    <rPh sb="9" eb="10">
      <t>ブ</t>
    </rPh>
    <phoneticPr fontId="2"/>
  </si>
  <si>
    <t>新事業推進室</t>
    <rPh sb="0" eb="3">
      <t>シンジギョウ</t>
    </rPh>
    <rPh sb="3" eb="5">
      <t>スイシン</t>
    </rPh>
    <rPh sb="5" eb="6">
      <t>シツ</t>
    </rPh>
    <phoneticPr fontId="2"/>
  </si>
  <si>
    <t>事業部</t>
    <rPh sb="0" eb="2">
      <t>ｼﾞｷﾞｮｳ</t>
    </rPh>
    <rPh sb="2" eb="3">
      <t>ﾌﾞ</t>
    </rPh>
    <phoneticPr fontId="14" type="noConversion"/>
  </si>
  <si>
    <t>Company</t>
  </si>
  <si>
    <t>Currency</t>
  </si>
  <si>
    <t>Account</t>
  </si>
  <si>
    <t>The Purchase</t>
  </si>
  <si>
    <t>XYZ</t>
  </si>
  <si>
    <t>Timing</t>
  </si>
  <si>
    <t>Sales value</t>
  </si>
  <si>
    <t>Buyer name</t>
  </si>
  <si>
    <t>Purpose of purchase</t>
  </si>
  <si>
    <t>Background to achieve the judgment</t>
  </si>
  <si>
    <t>Plan of action after this survey</t>
  </si>
  <si>
    <t>JNTY</t>
  </si>
  <si>
    <t>ZD*</t>
  </si>
  <si>
    <t>WF*</t>
  </si>
  <si>
    <t>WP*</t>
  </si>
  <si>
    <t>SAB</t>
  </si>
  <si>
    <t>XKN</t>
  </si>
  <si>
    <t>XKR</t>
  </si>
  <si>
    <t>CG3</t>
  </si>
  <si>
    <t>LPZ</t>
  </si>
  <si>
    <t>DA*</t>
  </si>
  <si>
    <t>DA9</t>
  </si>
  <si>
    <t>DAX</t>
  </si>
  <si>
    <t>DAY</t>
  </si>
  <si>
    <t>CL1</t>
  </si>
  <si>
    <t>LRQ</t>
  </si>
  <si>
    <t>XVN</t>
  </si>
  <si>
    <t>CD*</t>
  </si>
  <si>
    <t>SD*</t>
  </si>
  <si>
    <t>CG7</t>
  </si>
  <si>
    <t>SL*</t>
  </si>
  <si>
    <t>LP1</t>
  </si>
  <si>
    <t>CR*</t>
  </si>
  <si>
    <t>ZW*</t>
  </si>
  <si>
    <t>MFX</t>
  </si>
  <si>
    <t>XED</t>
  </si>
  <si>
    <t>XEH</t>
  </si>
  <si>
    <t>XEL</t>
  </si>
  <si>
    <t>XEP</t>
  </si>
  <si>
    <t>XER</t>
  </si>
  <si>
    <t>XEV</t>
  </si>
  <si>
    <t>XEY</t>
  </si>
  <si>
    <t>XEZ</t>
  </si>
  <si>
    <t>MF1</t>
  </si>
  <si>
    <t>その他</t>
  </si>
  <si>
    <t>磁気商品事業部</t>
  </si>
  <si>
    <t>回路商品事業部</t>
  </si>
  <si>
    <t>新事業推進室</t>
  </si>
  <si>
    <t>ｱﾚｲ撤退, LW逆転継続</t>
  </si>
  <si>
    <t>撤退（開発中止）</t>
  </si>
  <si>
    <t>撤退</t>
  </si>
  <si>
    <t>部分撤退（厚膜品）</t>
  </si>
  <si>
    <t>撤退（事業譲渡）</t>
  </si>
  <si>
    <t>導電性高分子ハイブリッドアルミニウム電解コンデンサ</t>
  </si>
  <si>
    <t>撤退区分</t>
    <rPh sb="0" eb="2">
      <t>テッタイ</t>
    </rPh>
    <rPh sb="2" eb="4">
      <t>クブン</t>
    </rPh>
    <phoneticPr fontId="6"/>
  </si>
  <si>
    <t>電力コンデンサ工程仕掛品</t>
  </si>
  <si>
    <t>アルミニウム電解コンデンサ</t>
  </si>
  <si>
    <t>CQ1</t>
  </si>
  <si>
    <t>高信頼性用積層セラミックコンデンサ半製品(めっき前)</t>
    <rPh sb="5" eb="7">
      <t>セキソウ</t>
    </rPh>
    <rPh sb="17" eb="20">
      <t>ハンセイヒン</t>
    </rPh>
    <rPh sb="24" eb="25">
      <t>マエ</t>
    </rPh>
    <phoneticPr fontId="6"/>
  </si>
  <si>
    <t>LPX</t>
  </si>
  <si>
    <t>CG1</t>
  </si>
  <si>
    <t>CR9</t>
  </si>
  <si>
    <t>ZRF</t>
  </si>
  <si>
    <t>CAH</t>
  </si>
  <si>
    <t>CAR</t>
  </si>
  <si>
    <t>MF2</t>
  </si>
  <si>
    <t>積層チップパワーインダクタ（メタル）半製品（めっき前処理上り品）</t>
  </si>
  <si>
    <t>工程CD</t>
    <rPh sb="0" eb="2">
      <t>コウテイ</t>
    </rPh>
    <phoneticPr fontId="6"/>
  </si>
  <si>
    <t>償却方法</t>
    <rPh sb="0" eb="2">
      <t>ショウキャク</t>
    </rPh>
    <rPh sb="2" eb="4">
      <t>ホウホウ</t>
    </rPh>
    <phoneticPr fontId="6"/>
  </si>
  <si>
    <t>Location place code</t>
  </si>
  <si>
    <t>Location place name</t>
  </si>
  <si>
    <t>JWTY</t>
  </si>
  <si>
    <t>一部撤退</t>
  </si>
  <si>
    <t>LD6</t>
  </si>
  <si>
    <t>PG9</t>
  </si>
  <si>
    <t>高周波複合部品工程仕掛品</t>
  </si>
  <si>
    <t>WM*</t>
  </si>
  <si>
    <t>ミリ波センサ</t>
  </si>
  <si>
    <t>XDA</t>
  </si>
  <si>
    <t>JFTYシステム開発販売</t>
  </si>
  <si>
    <t>XEX</t>
  </si>
  <si>
    <t>太陽光</t>
  </si>
  <si>
    <t>建設仮勘定（ソフト仮含）</t>
    <rPh sb="0" eb="2">
      <t>ケンセツ</t>
    </rPh>
    <rPh sb="2" eb="3">
      <t>カリ</t>
    </rPh>
    <rPh sb="3" eb="5">
      <t>カンジョウ</t>
    </rPh>
    <rPh sb="9" eb="10">
      <t>カリ</t>
    </rPh>
    <rPh sb="10" eb="11">
      <t>フク</t>
    </rPh>
    <phoneticPr fontId="2"/>
  </si>
  <si>
    <t>※6月末のＥＩＳ残高と一致させてください。</t>
  </si>
  <si>
    <t>２．判定別固定資産6月末帳簿価額（減損後）一覧</t>
    <rPh sb="2" eb="4">
      <t>ハンテイ</t>
    </rPh>
    <rPh sb="4" eb="5">
      <t>ベツ</t>
    </rPh>
    <rPh sb="5" eb="7">
      <t>コテイ</t>
    </rPh>
    <rPh sb="7" eb="9">
      <t>シサン</t>
    </rPh>
    <rPh sb="10" eb="12">
      <t>ガツマツ</t>
    </rPh>
    <rPh sb="21" eb="23">
      <t>イチラン</t>
    </rPh>
    <phoneticPr fontId="6"/>
  </si>
  <si>
    <t>④未使用
(メンテあり)</t>
    <rPh sb="1" eb="4">
      <t>ミシヨウ</t>
    </rPh>
    <phoneticPr fontId="6"/>
  </si>
  <si>
    <t>⑤未使用
(メンテあり)</t>
    <rPh sb="1" eb="4">
      <t>ミシヨウ</t>
    </rPh>
    <phoneticPr fontId="6"/>
  </si>
  <si>
    <t>⑥未使用
(メンテあり)</t>
  </si>
  <si>
    <t>⑦未使用
(メンテなし)</t>
    <rPh sb="1" eb="4">
      <t>ミシヨウ</t>
    </rPh>
    <phoneticPr fontId="6"/>
  </si>
  <si>
    <t>⑧未使用
(メンテなし)</t>
    <rPh sb="1" eb="4">
      <t>ミシヨウ</t>
    </rPh>
    <phoneticPr fontId="6"/>
  </si>
  <si>
    <t>⑨未使用
(メンテなし)</t>
  </si>
  <si>
    <t>⑩未使用
(メンテなし)</t>
  </si>
  <si>
    <t>電子部品事業部</t>
  </si>
  <si>
    <t>その他</t>
    <rPh sb="2" eb="3">
      <t>タ</t>
    </rPh>
    <phoneticPr fontId="2"/>
  </si>
  <si>
    <t>３．今期廃棄売却予定額</t>
    <rPh sb="2" eb="4">
      <t>コンキ</t>
    </rPh>
    <rPh sb="4" eb="6">
      <t>ハイキ</t>
    </rPh>
    <rPh sb="6" eb="8">
      <t>バイキャク</t>
    </rPh>
    <rPh sb="8" eb="10">
      <t>ヨテイ</t>
    </rPh>
    <rPh sb="10" eb="11">
      <t>ガク</t>
    </rPh>
    <phoneticPr fontId="6"/>
  </si>
  <si>
    <t>合計
判定が廃棄・売却
判定2-②、③、⑤、⑥、⑧、⑨</t>
    <rPh sb="0" eb="2">
      <t>ゴウケイ</t>
    </rPh>
    <rPh sb="3" eb="5">
      <t>ハンテイ</t>
    </rPh>
    <rPh sb="6" eb="8">
      <t>ハイキ</t>
    </rPh>
    <rPh sb="9" eb="11">
      <t>バイキャク</t>
    </rPh>
    <rPh sb="12" eb="14">
      <t>ハンテイ</t>
    </rPh>
    <phoneticPr fontId="7"/>
  </si>
  <si>
    <t>（G）</t>
  </si>
  <si>
    <t xml:space="preserve">判定1-②撤退商品専用設備
</t>
    <rPh sb="0" eb="2">
      <t>ﾊﾝﾃｲ</t>
    </rPh>
    <phoneticPr fontId="11" type="noConversion"/>
  </si>
  <si>
    <t>セグメント
Segment</t>
  </si>
  <si>
    <t>小分類名称
XYZ Name</t>
  </si>
  <si>
    <t>事業部名称</t>
  </si>
  <si>
    <t>ＣＥ外観後半製品</t>
  </si>
  <si>
    <t>ＣＥのテーピング用素子</t>
  </si>
  <si>
    <t>ＣＥ工程仕掛品</t>
  </si>
  <si>
    <t>CFV,CFW素子</t>
    <rPh sb="7" eb="9">
      <t>ソシ</t>
    </rPh>
    <phoneticPr fontId="8"/>
  </si>
  <si>
    <t>CFW再酸化後、めっき後、特性検査後素子細分類</t>
    <rPh sb="3" eb="4">
      <t>サイ</t>
    </rPh>
    <rPh sb="4" eb="6">
      <t>サンカ</t>
    </rPh>
    <rPh sb="6" eb="7">
      <t>ゴ</t>
    </rPh>
    <rPh sb="11" eb="12">
      <t>ゴ</t>
    </rPh>
    <rPh sb="13" eb="15">
      <t>トクセイ</t>
    </rPh>
    <rPh sb="15" eb="17">
      <t>ケンサ</t>
    </rPh>
    <rPh sb="17" eb="18">
      <t>ゴ</t>
    </rPh>
    <rPh sb="18" eb="20">
      <t>ソシ</t>
    </rPh>
    <rPh sb="20" eb="23">
      <t>サイブンルイ</t>
    </rPh>
    <phoneticPr fontId="8"/>
  </si>
  <si>
    <t>中高圧High-Q積層ｺﾝﾃﾞﾝｻ　1005～3225タイプ</t>
    <rPh sb="0" eb="1">
      <t>チュウ</t>
    </rPh>
    <rPh sb="1" eb="3">
      <t>コウアツ</t>
    </rPh>
    <rPh sb="9" eb="11">
      <t>セキソウ</t>
    </rPh>
    <phoneticPr fontId="8"/>
  </si>
  <si>
    <t>太化外注外部電極（グループ内）</t>
    <rPh sb="2" eb="4">
      <t>ガイチュウ</t>
    </rPh>
    <rPh sb="4" eb="6">
      <t>ガイブ</t>
    </rPh>
    <rPh sb="6" eb="8">
      <t>デンキョク</t>
    </rPh>
    <rPh sb="13" eb="14">
      <t>ナイ</t>
    </rPh>
    <phoneticPr fontId="8"/>
  </si>
  <si>
    <t>生産に寄与する固定資産で複数小細分類に関わる共有設備</t>
    <rPh sb="0" eb="2">
      <t>セイサン</t>
    </rPh>
    <rPh sb="3" eb="5">
      <t>キヨ</t>
    </rPh>
    <rPh sb="7" eb="9">
      <t>コテイ</t>
    </rPh>
    <rPh sb="9" eb="11">
      <t>シサン</t>
    </rPh>
    <rPh sb="12" eb="14">
      <t>フクスウ</t>
    </rPh>
    <rPh sb="14" eb="15">
      <t>ショウ</t>
    </rPh>
    <rPh sb="15" eb="18">
      <t>サイブンルイ</t>
    </rPh>
    <rPh sb="19" eb="20">
      <t>カカ</t>
    </rPh>
    <rPh sb="22" eb="24">
      <t>キョウユウ</t>
    </rPh>
    <rPh sb="24" eb="26">
      <t>セツビ</t>
    </rPh>
    <phoneticPr fontId="9"/>
  </si>
  <si>
    <t>研究開発部門保有資産</t>
    <rPh sb="0" eb="2">
      <t>ケンキュウ</t>
    </rPh>
    <rPh sb="2" eb="4">
      <t>カイハツ</t>
    </rPh>
    <rPh sb="4" eb="6">
      <t>ブモン</t>
    </rPh>
    <rPh sb="6" eb="8">
      <t>ホユウ</t>
    </rPh>
    <rPh sb="8" eb="10">
      <t>シサン</t>
    </rPh>
    <phoneticPr fontId="9"/>
  </si>
  <si>
    <t>生産に寄与しない部門（管理・営業・総務など）</t>
    <rPh sb="0" eb="2">
      <t>セイサン</t>
    </rPh>
    <rPh sb="3" eb="5">
      <t>キヨ</t>
    </rPh>
    <rPh sb="8" eb="10">
      <t>ブモン</t>
    </rPh>
    <rPh sb="11" eb="13">
      <t>カンリ</t>
    </rPh>
    <rPh sb="14" eb="16">
      <t>エイギョウ</t>
    </rPh>
    <rPh sb="17" eb="19">
      <t>ソウム</t>
    </rPh>
    <phoneticPr fontId="9"/>
  </si>
  <si>
    <t>積層チップインダクタ素子（テーピング用素子）</t>
    <rPh sb="0" eb="2">
      <t>セキソウ</t>
    </rPh>
    <rPh sb="10" eb="12">
      <t>ソシ</t>
    </rPh>
    <rPh sb="18" eb="19">
      <t>ヨウ</t>
    </rPh>
    <rPh sb="19" eb="21">
      <t>ソシ</t>
    </rPh>
    <phoneticPr fontId="10"/>
  </si>
  <si>
    <t>規模縮小</t>
  </si>
  <si>
    <t>LQS用巻線済みコア半製品</t>
    <rPh sb="3" eb="4">
      <t>ヨウ</t>
    </rPh>
    <rPh sb="4" eb="5">
      <t>マキ</t>
    </rPh>
    <rPh sb="5" eb="6">
      <t>セン</t>
    </rPh>
    <rPh sb="6" eb="7">
      <t>ス</t>
    </rPh>
    <rPh sb="10" eb="13">
      <t>ハンセイヒン</t>
    </rPh>
    <phoneticPr fontId="8"/>
  </si>
  <si>
    <t>巻線メタルパワーインダクタ（メタル含有樹脂モールド品）</t>
    <rPh sb="0" eb="1">
      <t>マキ</t>
    </rPh>
    <rPh sb="1" eb="2">
      <t>セン</t>
    </rPh>
    <rPh sb="17" eb="19">
      <t>ガンユウ</t>
    </rPh>
    <rPh sb="19" eb="21">
      <t>ジュシ</t>
    </rPh>
    <rPh sb="25" eb="26">
      <t>ヒン</t>
    </rPh>
    <phoneticPr fontId="10"/>
  </si>
  <si>
    <t>巻線メタルパワーインダクタ（メタル含有樹脂モールド品・半製品）</t>
    <rPh sb="0" eb="1">
      <t>マキ</t>
    </rPh>
    <rPh sb="1" eb="2">
      <t>セン</t>
    </rPh>
    <rPh sb="17" eb="19">
      <t>ガンユウ</t>
    </rPh>
    <rPh sb="19" eb="21">
      <t>ジュシ</t>
    </rPh>
    <rPh sb="25" eb="26">
      <t>ヒン</t>
    </rPh>
    <rPh sb="27" eb="30">
      <t>ハンセイヒン</t>
    </rPh>
    <phoneticPr fontId="10"/>
  </si>
  <si>
    <t>巻線メタルパワーインダクタ（メタル含有樹脂モールド標準品）</t>
    <rPh sb="0" eb="1">
      <t>マキ</t>
    </rPh>
    <rPh sb="1" eb="2">
      <t>セン</t>
    </rPh>
    <rPh sb="17" eb="19">
      <t>ガンユウ</t>
    </rPh>
    <rPh sb="19" eb="21">
      <t>ジュシ</t>
    </rPh>
    <rPh sb="25" eb="27">
      <t>ヒョウジュン</t>
    </rPh>
    <rPh sb="27" eb="28">
      <t>ヒン</t>
    </rPh>
    <phoneticPr fontId="10"/>
  </si>
  <si>
    <t>フェライトビーズインダクタ（FBタイプ_中国国内向け）</t>
    <rPh sb="20" eb="22">
      <t>チュウゴク</t>
    </rPh>
    <rPh sb="22" eb="24">
      <t>コクナイ</t>
    </rPh>
    <rPh sb="24" eb="25">
      <t>ム</t>
    </rPh>
    <phoneticPr fontId="8"/>
  </si>
  <si>
    <t>継続（ＯＥＭ品）・撤退の可能性あり</t>
  </si>
  <si>
    <t>一部規模縮小</t>
  </si>
  <si>
    <t>Ferrite &amp; Inductor-With Lead</t>
  </si>
  <si>
    <t>PJ前工程</t>
    <rPh sb="2" eb="5">
      <t>マエコウテイ</t>
    </rPh>
    <phoneticPr fontId="8"/>
  </si>
  <si>
    <t>NV素地外部調達</t>
    <rPh sb="2" eb="4">
      <t>ソジ</t>
    </rPh>
    <rPh sb="4" eb="6">
      <t>ガイブ</t>
    </rPh>
    <rPh sb="6" eb="8">
      <t>チョウタツ</t>
    </rPh>
    <phoneticPr fontId="8"/>
  </si>
  <si>
    <t>警備</t>
    <rPh sb="0" eb="2">
      <t>ケイビ</t>
    </rPh>
    <phoneticPr fontId="8"/>
  </si>
  <si>
    <t>高周波積層ｾﾗﾐｯｸｺﾝﾃﾞﾝｻ半製品</t>
    <rPh sb="0" eb="3">
      <t>コウシュウハ</t>
    </rPh>
    <rPh sb="3" eb="5">
      <t>セキソウ</t>
    </rPh>
    <rPh sb="16" eb="19">
      <t>ハンセイヒン</t>
    </rPh>
    <phoneticPr fontId="3"/>
  </si>
  <si>
    <t>駆動システム用電源モジュール</t>
    <rPh sb="0" eb="2">
      <t>クドウ</t>
    </rPh>
    <rPh sb="6" eb="7">
      <t>ヨウ</t>
    </rPh>
    <rPh sb="7" eb="9">
      <t>デンゲン</t>
    </rPh>
    <phoneticPr fontId="10"/>
  </si>
  <si>
    <t>蓄電用電源モジュール</t>
    <rPh sb="0" eb="2">
      <t>チクデン</t>
    </rPh>
    <rPh sb="2" eb="3">
      <t>ヨウ</t>
    </rPh>
    <rPh sb="3" eb="5">
      <t>デンゲン</t>
    </rPh>
    <phoneticPr fontId="10"/>
  </si>
  <si>
    <t>発電制御用電源モジュール</t>
    <rPh sb="0" eb="2">
      <t>ハツデン</t>
    </rPh>
    <rPh sb="2" eb="5">
      <t>セイギョヨウ</t>
    </rPh>
    <rPh sb="5" eb="7">
      <t>デンゲン</t>
    </rPh>
    <phoneticPr fontId="10"/>
  </si>
  <si>
    <t>充放電用電源モジュール</t>
    <rPh sb="0" eb="1">
      <t>ジュウ</t>
    </rPh>
    <rPh sb="1" eb="3">
      <t>ホウデン</t>
    </rPh>
    <rPh sb="3" eb="4">
      <t>ヨウ</t>
    </rPh>
    <rPh sb="4" eb="6">
      <t>デンゲン</t>
    </rPh>
    <phoneticPr fontId="10"/>
  </si>
  <si>
    <t>電源モジュール（エネルギー市場向け）その他</t>
    <rPh sb="0" eb="2">
      <t>デンゲン</t>
    </rPh>
    <rPh sb="13" eb="15">
      <t>シジョウ</t>
    </rPh>
    <rPh sb="15" eb="16">
      <t>ム</t>
    </rPh>
    <rPh sb="20" eb="21">
      <t>タ</t>
    </rPh>
    <phoneticPr fontId="10"/>
  </si>
  <si>
    <t>駆動システム用購入販売品</t>
    <rPh sb="0" eb="2">
      <t>クドウ</t>
    </rPh>
    <rPh sb="6" eb="7">
      <t>ヨウ</t>
    </rPh>
    <rPh sb="7" eb="9">
      <t>コウニュウ</t>
    </rPh>
    <rPh sb="9" eb="11">
      <t>ハンバイ</t>
    </rPh>
    <rPh sb="11" eb="12">
      <t>ヒン</t>
    </rPh>
    <phoneticPr fontId="10"/>
  </si>
  <si>
    <t>蓄電用購入販売品</t>
    <rPh sb="0" eb="2">
      <t>チクデン</t>
    </rPh>
    <rPh sb="2" eb="3">
      <t>ヨウ</t>
    </rPh>
    <rPh sb="3" eb="5">
      <t>コウニュウ</t>
    </rPh>
    <rPh sb="5" eb="7">
      <t>ハンバイ</t>
    </rPh>
    <rPh sb="7" eb="8">
      <t>ヒン</t>
    </rPh>
    <phoneticPr fontId="10"/>
  </si>
  <si>
    <t>発電制御用購入販売品</t>
    <rPh sb="0" eb="2">
      <t>ハツデン</t>
    </rPh>
    <rPh sb="2" eb="5">
      <t>セイギョヨウ</t>
    </rPh>
    <rPh sb="5" eb="7">
      <t>コウニュウ</t>
    </rPh>
    <rPh sb="7" eb="9">
      <t>ハンバイ</t>
    </rPh>
    <rPh sb="9" eb="10">
      <t>ヒン</t>
    </rPh>
    <phoneticPr fontId="10"/>
  </si>
  <si>
    <t>充放電用購入販売品</t>
    <rPh sb="0" eb="1">
      <t>ジュウ</t>
    </rPh>
    <rPh sb="1" eb="3">
      <t>ホウデン</t>
    </rPh>
    <rPh sb="3" eb="4">
      <t>ヨウ</t>
    </rPh>
    <rPh sb="4" eb="6">
      <t>コウニュウ</t>
    </rPh>
    <rPh sb="6" eb="8">
      <t>ハンバイ</t>
    </rPh>
    <rPh sb="8" eb="9">
      <t>ヒン</t>
    </rPh>
    <phoneticPr fontId="10"/>
  </si>
  <si>
    <t>電源事業購入販売品（エネルギー市場向け）その他</t>
    <rPh sb="0" eb="2">
      <t>デンゲン</t>
    </rPh>
    <rPh sb="2" eb="4">
      <t>ジギョウ</t>
    </rPh>
    <rPh sb="4" eb="6">
      <t>コウニュウ</t>
    </rPh>
    <rPh sb="6" eb="8">
      <t>ハンバイ</t>
    </rPh>
    <rPh sb="8" eb="9">
      <t>ヒン</t>
    </rPh>
    <rPh sb="15" eb="17">
      <t>シジョウ</t>
    </rPh>
    <rPh sb="17" eb="18">
      <t>ム</t>
    </rPh>
    <rPh sb="22" eb="23">
      <t>タ</t>
    </rPh>
    <phoneticPr fontId="10"/>
  </si>
  <si>
    <t>新事業その他</t>
    <rPh sb="0" eb="3">
      <t>シンジギョウ</t>
    </rPh>
    <rPh sb="5" eb="6">
      <t>タ</t>
    </rPh>
    <phoneticPr fontId="1"/>
  </si>
  <si>
    <t>ZD*</t>
  </si>
  <si>
    <t>その他</t>
    <rPh sb="2" eb="3">
      <t>タ</t>
    </rPh>
    <phoneticPr fontId="6"/>
  </si>
  <si>
    <t>ワイヤレスセンサネットワーク</t>
  </si>
  <si>
    <t>機能性表面処理膜</t>
    <rPh sb="0" eb="3">
      <t>キノウセイ</t>
    </rPh>
    <rPh sb="3" eb="5">
      <t>ヒョウメン</t>
    </rPh>
    <rPh sb="5" eb="7">
      <t>ショリ</t>
    </rPh>
    <rPh sb="7" eb="8">
      <t>マク</t>
    </rPh>
    <phoneticPr fontId="1"/>
  </si>
  <si>
    <t>太陽化学製ﾏｽｸ・機能性表面処理膜コーティング品</t>
    <rPh sb="0" eb="2">
      <t>タイヨウ</t>
    </rPh>
    <rPh sb="2" eb="4">
      <t>カガク</t>
    </rPh>
    <rPh sb="4" eb="5">
      <t>セイ</t>
    </rPh>
    <rPh sb="9" eb="11">
      <t>キノウ</t>
    </rPh>
    <rPh sb="11" eb="12">
      <t>セイ</t>
    </rPh>
    <rPh sb="12" eb="14">
      <t>ヒョウメン</t>
    </rPh>
    <rPh sb="14" eb="16">
      <t>ショリ</t>
    </rPh>
    <rPh sb="16" eb="17">
      <t>マク</t>
    </rPh>
    <rPh sb="23" eb="24">
      <t>ヒン</t>
    </rPh>
    <phoneticPr fontId="1"/>
  </si>
  <si>
    <t>顧客支給部材・機能性表面処理膜コーティング品</t>
    <rPh sb="0" eb="2">
      <t>コキャク</t>
    </rPh>
    <rPh sb="2" eb="4">
      <t>シキュウ</t>
    </rPh>
    <rPh sb="4" eb="5">
      <t>ブ</t>
    </rPh>
    <rPh sb="5" eb="6">
      <t>ザイ</t>
    </rPh>
    <rPh sb="7" eb="10">
      <t>キノウセイ</t>
    </rPh>
    <rPh sb="10" eb="12">
      <t>ヒョウメン</t>
    </rPh>
    <rPh sb="12" eb="14">
      <t>ショリ</t>
    </rPh>
    <rPh sb="14" eb="15">
      <t>マク</t>
    </rPh>
    <rPh sb="21" eb="22">
      <t>ヒン</t>
    </rPh>
    <phoneticPr fontId="1"/>
  </si>
  <si>
    <t>太陽化学製ﾏｽｸ・機能性表面処理膜無し品</t>
    <rPh sb="0" eb="2">
      <t>タイヨウ</t>
    </rPh>
    <rPh sb="2" eb="4">
      <t>カガク</t>
    </rPh>
    <rPh sb="4" eb="5">
      <t>セイ</t>
    </rPh>
    <rPh sb="9" eb="11">
      <t>キノウ</t>
    </rPh>
    <rPh sb="11" eb="12">
      <t>セイ</t>
    </rPh>
    <rPh sb="12" eb="14">
      <t>ヒョウメン</t>
    </rPh>
    <rPh sb="14" eb="16">
      <t>ショリ</t>
    </rPh>
    <rPh sb="16" eb="17">
      <t>マク</t>
    </rPh>
    <rPh sb="17" eb="18">
      <t>ナ</t>
    </rPh>
    <rPh sb="19" eb="20">
      <t>ヒン</t>
    </rPh>
    <phoneticPr fontId="1"/>
  </si>
  <si>
    <t>その他・機能性表面処理膜コーティング品</t>
    <rPh sb="4" eb="7">
      <t>キノウセイ</t>
    </rPh>
    <rPh sb="7" eb="9">
      <t>ヒョウメン</t>
    </rPh>
    <rPh sb="9" eb="11">
      <t>ショリ</t>
    </rPh>
    <rPh sb="11" eb="12">
      <t>マク</t>
    </rPh>
    <rPh sb="18" eb="19">
      <t>ヒン</t>
    </rPh>
    <phoneticPr fontId="1"/>
  </si>
  <si>
    <t>WF*</t>
  </si>
  <si>
    <t>WP*</t>
  </si>
  <si>
    <t>無線モジュール（実装ビジネス）</t>
    <rPh sb="0" eb="2">
      <t>ムセン</t>
    </rPh>
    <rPh sb="8" eb="10">
      <t>ジッソウ</t>
    </rPh>
    <phoneticPr fontId="8"/>
  </si>
  <si>
    <t>ＰＡＮ用無線モジュール（実装ビジネス）</t>
    <rPh sb="3" eb="4">
      <t>ヨウ</t>
    </rPh>
    <rPh sb="4" eb="6">
      <t>ムセン</t>
    </rPh>
    <rPh sb="12" eb="14">
      <t>ジッソウ</t>
    </rPh>
    <phoneticPr fontId="22"/>
  </si>
  <si>
    <t>ＬＡＮ用無線モジュール（実装ビジネス）</t>
    <rPh sb="3" eb="4">
      <t>ヨウ</t>
    </rPh>
    <rPh sb="4" eb="6">
      <t>ムセン</t>
    </rPh>
    <rPh sb="12" eb="14">
      <t>ジッソウ</t>
    </rPh>
    <phoneticPr fontId="22"/>
  </si>
  <si>
    <t>ＧＰＳ用無線モジュール（実装ビジネス）</t>
    <rPh sb="3" eb="4">
      <t>ヨウ</t>
    </rPh>
    <rPh sb="4" eb="6">
      <t>ムセン</t>
    </rPh>
    <rPh sb="12" eb="14">
      <t>ジッソウ</t>
    </rPh>
    <phoneticPr fontId="22"/>
  </si>
  <si>
    <t>無線モジュール（実装ビジネス）その他</t>
    <rPh sb="0" eb="2">
      <t>ムセン</t>
    </rPh>
    <rPh sb="8" eb="10">
      <t>ジッソウ</t>
    </rPh>
    <rPh sb="17" eb="18">
      <t>タ</t>
    </rPh>
    <phoneticPr fontId="9"/>
  </si>
  <si>
    <t>素子</t>
  </si>
  <si>
    <t>VCTD</t>
  </si>
  <si>
    <t>高周波積層ｾﾗﾐｯｸｺﾝﾃﾞﾝｻ0201タイプ</t>
    <rPh sb="0" eb="3">
      <t>コウシュウハ</t>
    </rPh>
    <rPh sb="3" eb="5">
      <t>セキソウ</t>
    </rPh>
    <phoneticPr fontId="4"/>
  </si>
  <si>
    <t>圧電アクチュエータ　塗工、印刷工程仕掛品</t>
    <rPh sb="10" eb="11">
      <t>ト</t>
    </rPh>
    <rPh sb="11" eb="12">
      <t>コウ</t>
    </rPh>
    <rPh sb="13" eb="15">
      <t>インサツ</t>
    </rPh>
    <rPh sb="15" eb="17">
      <t>コウテイ</t>
    </rPh>
    <rPh sb="17" eb="19">
      <t>シカカリ</t>
    </rPh>
    <rPh sb="19" eb="20">
      <t>ヒン</t>
    </rPh>
    <phoneticPr fontId="22"/>
  </si>
  <si>
    <t>Ｎｉ電極積層ﾁｯﾌﾟｺﾝﾃﾞﾝｻ_107以上（高信頼性商品）</t>
    <rPh sb="20" eb="22">
      <t>イジョウ</t>
    </rPh>
    <rPh sb="23" eb="27">
      <t>コウシンライセイ</t>
    </rPh>
    <rPh sb="27" eb="29">
      <t>ショウヒン</t>
    </rPh>
    <phoneticPr fontId="23"/>
  </si>
  <si>
    <t>積層ｺﾝﾃﾞﾝｻ_0603type（高信頼性商品）</t>
    <rPh sb="18" eb="22">
      <t>コウシンライセイ</t>
    </rPh>
    <rPh sb="22" eb="24">
      <t>ショウヒン</t>
    </rPh>
    <phoneticPr fontId="22"/>
  </si>
  <si>
    <t>積層ｺﾝﾃﾞﾝｻ_1005type（高信頼性商品）</t>
    <rPh sb="18" eb="22">
      <t>コウシンライセイ</t>
    </rPh>
    <rPh sb="22" eb="24">
      <t>ショウヒン</t>
    </rPh>
    <phoneticPr fontId="22"/>
  </si>
  <si>
    <t>SAB</t>
  </si>
  <si>
    <t>XKN</t>
  </si>
  <si>
    <t>XKR</t>
  </si>
  <si>
    <t>CG3</t>
  </si>
  <si>
    <t>LPY用ソフトフェライト素地</t>
    <rPh sb="3" eb="4">
      <t>ヨウ</t>
    </rPh>
    <rPh sb="12" eb="14">
      <t>ソジ</t>
    </rPh>
    <phoneticPr fontId="10"/>
  </si>
  <si>
    <t>高信頼フェライト系パワーインダクタ</t>
    <rPh sb="0" eb="3">
      <t>コウシンライ</t>
    </rPh>
    <rPh sb="8" eb="9">
      <t>ケイ</t>
    </rPh>
    <phoneticPr fontId="10"/>
  </si>
  <si>
    <t>LPZ</t>
  </si>
  <si>
    <t>高信頼パワーインダクタ　その他</t>
    <rPh sb="0" eb="3">
      <t>コウシンライ</t>
    </rPh>
    <rPh sb="14" eb="15">
      <t>タ</t>
    </rPh>
    <phoneticPr fontId="10"/>
  </si>
  <si>
    <t>DA*</t>
  </si>
  <si>
    <t>圧電アクチュエータ</t>
  </si>
  <si>
    <t>DA9</t>
  </si>
  <si>
    <t>圧電アクチュエータ塗工印刷工程仕掛品</t>
    <rPh sb="9" eb="11">
      <t>トコウ</t>
    </rPh>
    <rPh sb="11" eb="13">
      <t>インサツ</t>
    </rPh>
    <rPh sb="13" eb="15">
      <t>コウテイ</t>
    </rPh>
    <rPh sb="15" eb="17">
      <t>シカカリ</t>
    </rPh>
    <rPh sb="17" eb="18">
      <t>ヒン</t>
    </rPh>
    <phoneticPr fontId="9"/>
  </si>
  <si>
    <t>DAX</t>
  </si>
  <si>
    <t>圧電アクチュエータ（BAR形態）</t>
    <rPh sb="13" eb="15">
      <t>ケイタイ</t>
    </rPh>
    <phoneticPr fontId="9"/>
  </si>
  <si>
    <t>DAY</t>
  </si>
  <si>
    <t>圧電アクチュエータ（圧電ツイータ）</t>
    <rPh sb="10" eb="12">
      <t>アツデン</t>
    </rPh>
    <phoneticPr fontId="9"/>
  </si>
  <si>
    <t>CL1</t>
  </si>
  <si>
    <t>ﾘﾁｳﾑｲｵﾝｷｬﾊﾟｼﾀ半製品</t>
    <rPh sb="13" eb="16">
      <t>ハンセイヒン</t>
    </rPh>
    <phoneticPr fontId="9"/>
  </si>
  <si>
    <t>LRQ</t>
  </si>
  <si>
    <t>高信頼巻線コモンモードチョークコイル</t>
    <rPh sb="0" eb="3">
      <t>コウシンライ</t>
    </rPh>
    <rPh sb="3" eb="5">
      <t>マキセン</t>
    </rPh>
    <phoneticPr fontId="9"/>
  </si>
  <si>
    <t>XVN</t>
  </si>
  <si>
    <t>CD*</t>
  </si>
  <si>
    <t>電気二重層キャパシタ</t>
  </si>
  <si>
    <t>SD*</t>
  </si>
  <si>
    <t>電気二重層キャパシタモジュール</t>
  </si>
  <si>
    <t>CG7</t>
  </si>
  <si>
    <t>ＣＧ特性検査後品</t>
  </si>
  <si>
    <t>ﾎﾟﾘｱｾﾝｷｬﾊﾟｼﾀﾓｼﾞｭｰﾙ</t>
  </si>
  <si>
    <t>SL*</t>
  </si>
  <si>
    <t>ﾘﾁｳﾑｲｵﾝｷｬﾊﾟｼﾀﾓｼﾞｭｰﾙ</t>
  </si>
  <si>
    <t>LP1</t>
  </si>
  <si>
    <t>LPY用フェライトコア</t>
  </si>
  <si>
    <t>CR*</t>
  </si>
  <si>
    <t>電力コンデンサ工程仕掛品</t>
    <rPh sb="0" eb="2">
      <t>デンリョク</t>
    </rPh>
    <rPh sb="7" eb="9">
      <t>コウテイ</t>
    </rPh>
    <rPh sb="9" eb="11">
      <t>シカカリ</t>
    </rPh>
    <rPh sb="11" eb="12">
      <t>ヒン</t>
    </rPh>
    <phoneticPr fontId="10"/>
  </si>
  <si>
    <t>ZW*</t>
  </si>
  <si>
    <t>巻線共通</t>
    <rPh sb="0" eb="2">
      <t>マキセン</t>
    </rPh>
    <rPh sb="2" eb="4">
      <t>キョウツウ</t>
    </rPh>
    <phoneticPr fontId="10"/>
  </si>
  <si>
    <t>MLCI-Ceramics</t>
  </si>
  <si>
    <t>MFX</t>
  </si>
  <si>
    <t>電気二重層キャパシタ 電極</t>
    <rPh sb="11" eb="13">
      <t>デンキョク</t>
    </rPh>
    <phoneticPr fontId="24"/>
  </si>
  <si>
    <t>シリンダ型電気二重層キャパシタ</t>
    <rPh sb="4" eb="5">
      <t>ガタ</t>
    </rPh>
    <phoneticPr fontId="24"/>
  </si>
  <si>
    <t>触覚技術用圧電アクチュエータ</t>
    <rPh sb="0" eb="2">
      <t>ショッカク</t>
    </rPh>
    <rPh sb="2" eb="5">
      <t>ギジュツヨウ</t>
    </rPh>
    <phoneticPr fontId="24"/>
  </si>
  <si>
    <t>電気二重層キャパシタ半製品</t>
    <rPh sb="10" eb="13">
      <t>ハンセイヒン</t>
    </rPh>
    <phoneticPr fontId="10"/>
  </si>
  <si>
    <t>高信頼巻線コモンモードチョークコイル用コア</t>
    <rPh sb="18" eb="19">
      <t>ヨウ</t>
    </rPh>
    <phoneticPr fontId="10"/>
  </si>
  <si>
    <t>POL高パワー系パッケージモジュール</t>
    <rPh sb="3" eb="4">
      <t>コウ</t>
    </rPh>
    <rPh sb="7" eb="8">
      <t>ケイ</t>
    </rPh>
    <phoneticPr fontId="10"/>
  </si>
  <si>
    <t>高信頼メタル系パワーインダクタ</t>
    <rPh sb="6" eb="7">
      <t>ケイ</t>
    </rPh>
    <phoneticPr fontId="10"/>
  </si>
  <si>
    <t>中高耐圧積層セラミックコンデンサ素子（再酸化仕上がり品）</t>
    <rPh sb="19" eb="20">
      <t>サイ</t>
    </rPh>
    <rPh sb="20" eb="22">
      <t>サンカ</t>
    </rPh>
    <phoneticPr fontId="10"/>
  </si>
  <si>
    <t>XED</t>
  </si>
  <si>
    <t>電気二重層コンデンサ（コイン積層形）</t>
  </si>
  <si>
    <t>XEH</t>
  </si>
  <si>
    <t>導電性高分子ハイブリッドアルミニウム電解コンデンサ</t>
  </si>
  <si>
    <t>XEL</t>
  </si>
  <si>
    <t>大形アルミニウム電解コンデンサ</t>
  </si>
  <si>
    <t>XEP</t>
  </si>
  <si>
    <t>導電性高分子アルミニウム固体電解コンデンサ</t>
  </si>
  <si>
    <t>XER</t>
  </si>
  <si>
    <t>小形アルミニウム電解コンデンサ</t>
  </si>
  <si>
    <t>XEV</t>
  </si>
  <si>
    <t>チップ形アルミニウム電解コンデンサ</t>
  </si>
  <si>
    <t>XEY</t>
  </si>
  <si>
    <t>未実現利益やその他決算修正</t>
  </si>
  <si>
    <t>XEZ</t>
  </si>
  <si>
    <t>電気二重層コンデンサ（捲回形）</t>
  </si>
  <si>
    <t>MF1</t>
  </si>
  <si>
    <t>積層チップパワーインダクタ（メタル)半製品（熱処理上がり品）</t>
    <rPh sb="0" eb="2">
      <t>セキソウ</t>
    </rPh>
    <rPh sb="18" eb="21">
      <t>ハンセイヒン</t>
    </rPh>
    <rPh sb="22" eb="25">
      <t>ネツショリ</t>
    </rPh>
    <rPh sb="25" eb="26">
      <t>ア</t>
    </rPh>
    <rPh sb="28" eb="29">
      <t>ヒン</t>
    </rPh>
    <phoneticPr fontId="10"/>
  </si>
  <si>
    <t>CQ1</t>
  </si>
  <si>
    <t>MF2</t>
  </si>
  <si>
    <t>LD6</t>
  </si>
  <si>
    <t>巻線メタルインダクタ用タブレット樹脂</t>
  </si>
  <si>
    <t>CCTY</t>
  </si>
  <si>
    <t>CGTY</t>
  </si>
  <si>
    <t>CSTY</t>
  </si>
  <si>
    <t>CTY</t>
  </si>
  <si>
    <t>CZTY</t>
  </si>
  <si>
    <t>EA</t>
  </si>
  <si>
    <t>ELNA</t>
  </si>
  <si>
    <t>ES</t>
  </si>
  <si>
    <t>ESH</t>
  </si>
  <si>
    <t>ETY</t>
  </si>
  <si>
    <t>HKTY</t>
  </si>
  <si>
    <t>JCTY</t>
  </si>
  <si>
    <t>JETY</t>
  </si>
  <si>
    <t>JFTY</t>
  </si>
  <si>
    <t>JMTY</t>
  </si>
  <si>
    <t>JTTY</t>
  </si>
  <si>
    <t>JTY</t>
  </si>
  <si>
    <t>KAN</t>
  </si>
  <si>
    <t>KKTY</t>
  </si>
  <si>
    <t>KTY</t>
  </si>
  <si>
    <t>MSTY</t>
  </si>
  <si>
    <t>MTY</t>
  </si>
  <si>
    <t>PTY</t>
  </si>
  <si>
    <t>R&amp;Dセンター</t>
  </si>
  <si>
    <t>SONIC</t>
  </si>
  <si>
    <t>STY</t>
  </si>
  <si>
    <t>SVT</t>
  </si>
  <si>
    <t>TANIN</t>
  </si>
  <si>
    <t>TBTY</t>
  </si>
  <si>
    <t>TOHOKU</t>
  </si>
  <si>
    <t>TTY</t>
  </si>
  <si>
    <t>UTY</t>
  </si>
  <si>
    <t>玉村工場</t>
  </si>
  <si>
    <t>高崎GC</t>
  </si>
  <si>
    <t>榛名工場</t>
  </si>
  <si>
    <t>中之条工場</t>
  </si>
  <si>
    <t>八幡原工場</t>
  </si>
  <si>
    <t>本社</t>
  </si>
  <si>
    <t>提出書式（Book format）</t>
    <rPh sb="0" eb="2">
      <t>テイシュツ</t>
    </rPh>
    <rPh sb="2" eb="4">
      <t>ショシキ</t>
    </rPh>
    <phoneticPr fontId="19"/>
  </si>
  <si>
    <t>前回調査(Last time results)</t>
    <rPh sb="0" eb="2">
      <t>ゼンカイ</t>
    </rPh>
    <rPh sb="2" eb="4">
      <t>チョウサ</t>
    </rPh>
    <phoneticPr fontId="2"/>
  </si>
  <si>
    <t>今回調査（This time results）</t>
    <rPh sb="0" eb="2">
      <t>コンカイ</t>
    </rPh>
    <rPh sb="2" eb="4">
      <t>チョウサ</t>
    </rPh>
    <phoneticPr fontId="2"/>
  </si>
  <si>
    <t>通貨</t>
    <rPh sb="0" eb="2">
      <t>ツウカ</t>
    </rPh>
    <phoneticPr fontId="6"/>
  </si>
  <si>
    <t>資産科目</t>
    <rPh sb="0" eb="2">
      <t>シサン</t>
    </rPh>
    <rPh sb="2" eb="4">
      <t>カモク</t>
    </rPh>
    <phoneticPr fontId="6"/>
  </si>
  <si>
    <t xml:space="preserve">拠点資産No.
</t>
    <rPh sb="0" eb="2">
      <t>ｷｮﾃﾝ</t>
    </rPh>
    <rPh sb="2" eb="4">
      <t>ｼｻﾝ</t>
    </rPh>
    <phoneticPr fontId="14" type="noConversion"/>
  </si>
  <si>
    <t>取得日</t>
  </si>
  <si>
    <t>取得稟議番号</t>
    <rPh sb="0" eb="2">
      <t>シュトク</t>
    </rPh>
    <rPh sb="2" eb="4">
      <t>リンギ</t>
    </rPh>
    <rPh sb="4" eb="6">
      <t>バンゴウ</t>
    </rPh>
    <phoneticPr fontId="6"/>
  </si>
  <si>
    <t>前期末帳簿価額</t>
    <rPh sb="0" eb="2">
      <t>ゼンキ</t>
    </rPh>
    <rPh sb="2" eb="3">
      <t>マツ</t>
    </rPh>
    <rPh sb="3" eb="5">
      <t>チョウボ</t>
    </rPh>
    <rPh sb="5" eb="7">
      <t>カガク</t>
    </rPh>
    <phoneticPr fontId="6"/>
  </si>
  <si>
    <t>月額償却額</t>
    <rPh sb="0" eb="2">
      <t>ゲツガク</t>
    </rPh>
    <rPh sb="2" eb="5">
      <t>ショウキャクガク</t>
    </rPh>
    <phoneticPr fontId="6"/>
  </si>
  <si>
    <t>帳簿価額(減損後)</t>
    <rPh sb="0" eb="2">
      <t>ﾁｮｳﾎﾞ</t>
    </rPh>
    <rPh sb="2" eb="4">
      <t>ｶｶﾞｸ</t>
    </rPh>
    <phoneticPr fontId="14" type="noConversion"/>
  </si>
  <si>
    <t>遊休開始日</t>
    <rPh sb="0" eb="2">
      <t>ユウキュウ</t>
    </rPh>
    <rPh sb="2" eb="4">
      <t>カイシ</t>
    </rPh>
    <rPh sb="4" eb="5">
      <t>ビ</t>
    </rPh>
    <phoneticPr fontId="6"/>
  </si>
  <si>
    <t>減損日</t>
    <rPh sb="0" eb="2">
      <t>ゲンソン</t>
    </rPh>
    <rPh sb="2" eb="3">
      <t>ビ</t>
    </rPh>
    <phoneticPr fontId="6"/>
  </si>
  <si>
    <t>減損損失額</t>
    <rPh sb="0" eb="2">
      <t>ゲンソン</t>
    </rPh>
    <rPh sb="2" eb="5">
      <t>ソンシツガク</t>
    </rPh>
    <phoneticPr fontId="6"/>
  </si>
  <si>
    <t>判定1</t>
  </si>
  <si>
    <t>判定2</t>
  </si>
  <si>
    <t>状態</t>
  </si>
  <si>
    <t>今後の見込み</t>
  </si>
  <si>
    <t>W/W Asset No.</t>
  </si>
  <si>
    <t>Name</t>
  </si>
  <si>
    <t xml:space="preserve">Registration date
</t>
  </si>
  <si>
    <t>Investment No
(RINGI No.)</t>
  </si>
  <si>
    <t>Section code</t>
  </si>
  <si>
    <t>Section name</t>
  </si>
  <si>
    <t>Depreciation Method</t>
  </si>
  <si>
    <t>Durable years</t>
  </si>
  <si>
    <t>Acquisition Cost</t>
  </si>
  <si>
    <t>Residual value</t>
  </si>
  <si>
    <t>Book Value (pre-end of the year)</t>
  </si>
  <si>
    <t>Depreciation Monthly</t>
  </si>
  <si>
    <t>Book Value (after inpairment loss)</t>
  </si>
  <si>
    <t xml:space="preserve">Start Date </t>
  </si>
  <si>
    <t>Date</t>
  </si>
  <si>
    <t>Impairment Loss</t>
  </si>
  <si>
    <t>Segment</t>
  </si>
  <si>
    <t>Person in charge</t>
  </si>
  <si>
    <t>Judgment1</t>
  </si>
  <si>
    <t>Judgment2</t>
  </si>
  <si>
    <t>Judgment1</t>
  </si>
  <si>
    <t>Judgment2</t>
  </si>
  <si>
    <t>Condition</t>
  </si>
  <si>
    <t>Resale</t>
  </si>
  <si>
    <t>9月度減損損失見込額</t>
    <rPh sb="1" eb="3">
      <t>ガツド</t>
    </rPh>
    <rPh sb="3" eb="5">
      <t>ゲンソン</t>
    </rPh>
    <rPh sb="5" eb="7">
      <t>ソンシツ</t>
    </rPh>
    <rPh sb="7" eb="9">
      <t>ミコ</t>
    </rPh>
    <rPh sb="9" eb="10">
      <t>ガク</t>
    </rPh>
    <phoneticPr fontId="12"/>
  </si>
  <si>
    <t>設置場所名称</t>
    <rPh sb="0" eb="4">
      <t>セッチバショ</t>
    </rPh>
    <rPh sb="4" eb="6">
      <t>メイショウ</t>
    </rPh>
    <phoneticPr fontId="2"/>
  </si>
  <si>
    <t>設置場所CD</t>
    <rPh sb="0" eb="4">
      <t>セッチバショ</t>
    </rPh>
    <phoneticPr fontId="2"/>
  </si>
  <si>
    <t>2JE202108ZZ0004-000</t>
  </si>
  <si>
    <t>2JE202108ZZ0003-000</t>
  </si>
  <si>
    <t>2JE202108ZZ0002-000</t>
  </si>
  <si>
    <t>2JE202108ZZ0001-000</t>
  </si>
  <si>
    <t>2JE202106ZZ0002-000</t>
  </si>
  <si>
    <t>2JE202106ZZ0001-000</t>
  </si>
  <si>
    <t>2JE202104ZZ0002-000</t>
  </si>
  <si>
    <t>2JE202104ZZ0001-000</t>
  </si>
  <si>
    <t>2JE202103ZZ0001-000</t>
  </si>
  <si>
    <t>2JE202102ZZ0003-001</t>
  </si>
  <si>
    <t>2JE202102ZZ0002-001</t>
  </si>
  <si>
    <t>2JE202102ZZ0001-001</t>
  </si>
  <si>
    <t>2JE202102ZZ0001-000</t>
  </si>
  <si>
    <t>2JE201911ZZ0003-000</t>
  </si>
  <si>
    <t>2JE202012ZZ0001-000</t>
  </si>
  <si>
    <t>2JE202010SV0001-000</t>
  </si>
  <si>
    <t>2JE202009ZZ0001-000</t>
  </si>
  <si>
    <t>2JE202009SV0001-000</t>
  </si>
  <si>
    <t>2JE202002ZZ0001-002</t>
  </si>
  <si>
    <t>2JE202002ZZ0001-000</t>
  </si>
  <si>
    <t>2JE201911ZZ0002-000</t>
  </si>
  <si>
    <t>2JE201911ZZ0001-000</t>
  </si>
  <si>
    <t>2JE201909JT0001-000</t>
  </si>
  <si>
    <t>2JE201908ZZ0001-000</t>
  </si>
  <si>
    <t>2JE201810ZZ0001-000</t>
  </si>
  <si>
    <t>工具器具備品</t>
  </si>
  <si>
    <t>機械装置</t>
  </si>
  <si>
    <t>建物</t>
  </si>
  <si>
    <t>４．83期減損損失見込額</t>
  </si>
  <si>
    <t>判定1-①(撤退商品以外）,③（撤退商品共有設備)
判定2-⑦,⑧,⑨,⑩(未使用(メンテなし))
かつ、遊休開始日が2022年9月以前の資産</t>
  </si>
  <si>
    <t>パワーデバイス事業部</t>
  </si>
  <si>
    <t>通信デバイス事業部</t>
  </si>
  <si>
    <t>（Aのうち）
判定2-②、③、⑤、⑥、⑧、⑨　(廃棄売却)
2023年7-9月</t>
  </si>
  <si>
    <t>（Cのうち）
2023年7-9月　　　　　　　廃棄の資産</t>
  </si>
  <si>
    <t>（Cのうち）
2023年9月までに稼動再開となる資産</t>
  </si>
  <si>
    <t>&lt;s_NextYear&gt;年3月減損見込額
2022年10月～2023年3月末までに遊休開始になった資産で、稼働再開、売却、廃棄見込が無い資産</t>
  </si>
  <si>
    <t>正常</t>
  </si>
  <si>
    <t>故障(修復可)</t>
  </si>
  <si>
    <t>故障(修復不可)</t>
  </si>
  <si>
    <t>可(ｸﾞﾙｰﾌﾟ外)</t>
  </si>
  <si>
    <t>可(ｸﾞﾙｰﾌﾟ内)</t>
  </si>
  <si>
    <t>不可</t>
  </si>
  <si>
    <t>JPY</t>
  </si>
  <si>
    <t>RMB</t>
  </si>
  <si>
    <t>EUR</t>
  </si>
  <si>
    <t>HKD</t>
  </si>
  <si>
    <t>KRW</t>
  </si>
  <si>
    <t>MYR</t>
  </si>
  <si>
    <t>PHP</t>
  </si>
  <si>
    <t>USD</t>
  </si>
  <si>
    <t>TWD</t>
  </si>
  <si>
    <t>THB</t>
  </si>
  <si>
    <t>SGD</t>
  </si>
  <si>
    <t>判定1</t>
  </si>
  <si>
    <t>判定2</t>
  </si>
  <si>
    <t>小細分類</t>
    <rPh sb="0" eb="1">
      <t>ｼｮｳｻｲ4</t>
    </rPh>
    <phoneticPr fontId="2"/>
  </si>
  <si>
    <t>セグメント</t>
  </si>
  <si>
    <t>確認者</t>
    <rPh sb="0" eb="2">
      <t>ｶｸﾆﾝｼｬ6</t>
    </rPh>
    <phoneticPr fontId="2"/>
  </si>
  <si>
    <t>設置場所CD</t>
    <rPh sb="0" eb="2">
      <t>ｾｯﾁﾊﾞｼｮ7</t>
    </rPh>
    <phoneticPr fontId="2"/>
  </si>
  <si>
    <t>設置場所名称</t>
    <rPh sb="0" eb="2">
      <t>ｾｯﾁﾊﾞｼｮ8</t>
    </rPh>
    <phoneticPr fontId="2"/>
  </si>
  <si>
    <t>Judgment12</t>
  </si>
  <si>
    <t>Judgment23</t>
  </si>
  <si>
    <t>XYZ4</t>
  </si>
  <si>
    <t>Segment5</t>
  </si>
  <si>
    <t>Segment6</t>
  </si>
  <si>
    <t>Person in charge7</t>
  </si>
  <si>
    <t>Location place code8</t>
  </si>
  <si>
    <t>Location place name9</t>
  </si>
  <si>
    <t>小細分類</t>
    <rPh sb="0" eb="1">
      <t>ｼｮｳ</t>
    </rPh>
    <rPh sb="1" eb="2">
      <t>ｻｲ</t>
    </rPh>
    <rPh sb="2" eb="4">
      <t>ﾌﾞﾝﾙｲ</t>
    </rPh>
    <phoneticPr fontId="14" type="noConversion"/>
  </si>
  <si>
    <t>確認者</t>
    <rPh sb="0" eb="2">
      <t>ｶｸﾆﾝ</t>
    </rPh>
    <rPh sb="2" eb="3">
      <t>ｼｬ</t>
    </rPh>
    <phoneticPr fontId="14" type="noConversion"/>
  </si>
  <si>
    <t>設置場所CD</t>
    <rPh sb="0" eb="2">
      <t>ｾｯﾁ</t>
    </rPh>
    <rPh sb="2" eb="4">
      <t>ﾊﾞｼｮ</t>
    </rPh>
    <phoneticPr fontId="14" type="noConversion"/>
  </si>
  <si>
    <t>設置場所名称</t>
    <rPh sb="0" eb="2">
      <t>ｾｯﾁ</t>
    </rPh>
    <rPh sb="2" eb="4">
      <t>ﾊﾞｼｮ</t>
    </rPh>
    <rPh sb="4" eb="6">
      <t>ﾒｲｼｮｳ</t>
    </rPh>
    <phoneticPr fontId="14" type="noConversion"/>
  </si>
  <si>
    <t>CAP</t>
  </si>
  <si>
    <t>導電性高分子アルミニウム固体電解コンデンサ</t>
  </si>
  <si>
    <t>Power Device Business Division</t>
  </si>
  <si>
    <t>CAV</t>
  </si>
  <si>
    <t>チップ形アルミニウム電解コンデンサ</t>
  </si>
  <si>
    <t>CDD</t>
  </si>
  <si>
    <t>エルナー社製電気二重層キャパシタ（コイン積層形）</t>
  </si>
  <si>
    <t>CDZ</t>
  </si>
  <si>
    <t>エルナー社製電気二重層キャパシタ（捲回形）</t>
  </si>
  <si>
    <t>2JE202109ZZ0001-000</t>
  </si>
  <si>
    <t>2JE202109ZZ0002-000</t>
  </si>
  <si>
    <t>2JE202109ZZ0003-000</t>
  </si>
  <si>
    <t>2JE202110ZZ0001-000</t>
  </si>
  <si>
    <t>2JE202110ZZ0002-000</t>
  </si>
  <si>
    <t>2JE202110ZZ0003-000</t>
  </si>
  <si>
    <t>2JE202110ZZ0004-000</t>
  </si>
  <si>
    <t>2JE202110ZZ0005-000</t>
  </si>
  <si>
    <t>2JE202203ZZ0001-000</t>
  </si>
  <si>
    <t>2JE202203ZZ0002-000</t>
  </si>
  <si>
    <t>2JE202203ZZ0003-000</t>
  </si>
  <si>
    <t>2JE202303ZZ0001-000</t>
  </si>
  <si>
    <t>5JE199910ZZ0113-001</t>
  </si>
  <si>
    <t>5JE199910ZZ0114-002</t>
  </si>
  <si>
    <t>5JE200306ZZ0004-001</t>
  </si>
  <si>
    <t>5JE200512ZZ0019-001</t>
  </si>
  <si>
    <t>5JE200711ZZ0026-001</t>
  </si>
  <si>
    <t>5JE201005ZZ0002-001</t>
  </si>
  <si>
    <t>5JE201009ZZ0013-001</t>
  </si>
  <si>
    <t>5JE201009ZZ0013-002</t>
  </si>
  <si>
    <t>5JE201009ZZ0013-003</t>
  </si>
  <si>
    <t>5JE201103ZZ0017-001</t>
  </si>
  <si>
    <t>5JE201103ZZ0017-002</t>
  </si>
  <si>
    <t>5JE201106ZZ0002-003</t>
  </si>
  <si>
    <t>5JE201106ZZ0002-004</t>
  </si>
  <si>
    <t>5JE201107ZZ0005-001</t>
  </si>
  <si>
    <t>5JE201107ZZ0005-002</t>
  </si>
  <si>
    <t>5JE201109ZZ0008-001</t>
  </si>
  <si>
    <t>5JE201210ZZ0003-001</t>
  </si>
  <si>
    <t>5JE201210ZZ0003-002</t>
  </si>
  <si>
    <t>5JE201210ZZ0004-001</t>
  </si>
  <si>
    <t>5JE201210ZZ0004-002</t>
  </si>
  <si>
    <t>5JE201312ZZ0017-001</t>
  </si>
  <si>
    <t>5JE201403ZZ0018-003</t>
  </si>
  <si>
    <t>5JE201403ZZ0020-001</t>
  </si>
  <si>
    <t>5JE201403ZZ0020-002</t>
  </si>
  <si>
    <t>5JE201403ZZ0021-001</t>
  </si>
  <si>
    <t>5JE201410ZZ0016-001</t>
  </si>
  <si>
    <t>5JE201410ZZ0017-001</t>
  </si>
  <si>
    <t>5JE201410ZZ0018-001</t>
  </si>
  <si>
    <t>5JE201410ZZ0019-001</t>
  </si>
  <si>
    <t>5JE201410ZZ0020-001</t>
  </si>
  <si>
    <t>5JE201503ZZ0022-001</t>
  </si>
  <si>
    <t>5JE201503ZZ0022-002</t>
  </si>
  <si>
    <t>5JE201503ZZ0022-003</t>
  </si>
  <si>
    <t>5JE201507ZZ0001-001</t>
  </si>
  <si>
    <t>5JE201507ZZ0002-001</t>
  </si>
  <si>
    <t>5JE201507ZZ0003-001</t>
  </si>
  <si>
    <t>5JE201507ZZ0004-001</t>
  </si>
  <si>
    <t>5JE201507ZZ0005-001</t>
  </si>
  <si>
    <t>5JE201507ZZ0006-001</t>
  </si>
  <si>
    <t>5JE201507ZZ0007-001</t>
  </si>
  <si>
    <t>5JE201507ZZ0008-001</t>
  </si>
  <si>
    <t>5JE201507ZZ0009-001</t>
  </si>
  <si>
    <t>5JE201507ZZ0021-001</t>
  </si>
  <si>
    <t>5JE201507ZZ0021-002</t>
  </si>
  <si>
    <t>5JE201507ZZ0021-003</t>
  </si>
  <si>
    <t>5JE201507ZZ0021-004</t>
  </si>
  <si>
    <t>5JE201508ZZ0010-001</t>
  </si>
  <si>
    <t>5JE201508ZZ0010-002</t>
  </si>
  <si>
    <t>5JE201508ZZ0010-003</t>
  </si>
  <si>
    <t>5JE201509ZZ0011-001</t>
  </si>
  <si>
    <t>5JE201510ZZ0012-001</t>
  </si>
  <si>
    <t>5JE201512ZZ0015-001</t>
  </si>
  <si>
    <t>5JE201603ZZ0017-001</t>
  </si>
  <si>
    <t>5JE201604ZZ0001-001</t>
  </si>
  <si>
    <t>5JE201604ZZ0002-001</t>
  </si>
  <si>
    <t>5JE201604ZZ0003-001</t>
  </si>
  <si>
    <t>5JE201607ZZ0004-001</t>
  </si>
  <si>
    <t>5JE201608ZZ0005-001</t>
  </si>
  <si>
    <t>5JE201608ZZ0006-001</t>
  </si>
  <si>
    <t>5JE201608ZZ0007-001</t>
  </si>
  <si>
    <t>5JE201609ZZ0008-001</t>
  </si>
  <si>
    <t>5JE201609ZZ0009-001</t>
  </si>
  <si>
    <t>5JE201609ZZ0011-001</t>
  </si>
  <si>
    <t>5JE201610ZZ0012-001</t>
  </si>
  <si>
    <t>5JE201610ZZ0013-001</t>
  </si>
  <si>
    <t>5JE201611ZZ0014-001</t>
  </si>
  <si>
    <t>5JE201702ZZ0015-001</t>
  </si>
  <si>
    <t>5JE201702ZZ0015-002</t>
  </si>
  <si>
    <t>5JE201702ZZ0015-003</t>
  </si>
  <si>
    <t>5JE201702ZZ0015-004</t>
  </si>
  <si>
    <t>5JE201702ZZ0016-001</t>
  </si>
  <si>
    <t>5JE201705ZZ0001-001</t>
  </si>
  <si>
    <t>5JE201708ZZ0001-001</t>
  </si>
  <si>
    <t>5JE201708ZZ0002-001</t>
  </si>
  <si>
    <t>5JE201708ZZ0003-001</t>
  </si>
  <si>
    <t>5JE201708ZZ0004-001</t>
  </si>
  <si>
    <t>5JE201708ZZ0005-001</t>
  </si>
  <si>
    <t>5JE201708ZZ0006-001</t>
  </si>
  <si>
    <t>5JE201708ZZ0007-001</t>
  </si>
  <si>
    <t>5JE201709ZZ0001-001</t>
  </si>
  <si>
    <t>5JE201709ZZ0001-002</t>
  </si>
  <si>
    <t>5JE201709ZZ0002-001</t>
  </si>
  <si>
    <t>5JE201709ZZ0003-001</t>
  </si>
  <si>
    <t>5JE201710ZZ0001-001</t>
  </si>
  <si>
    <t>5JE201710ZZ0001-002</t>
  </si>
  <si>
    <t>5JE201710ZZ0002-001</t>
  </si>
  <si>
    <t>5JE201711ZZ0001-001</t>
  </si>
  <si>
    <t>5JE201711ZZ0001-002</t>
  </si>
  <si>
    <t>5JE201711ZZ0001-003</t>
  </si>
  <si>
    <t>5JE201801ZZ0001-001</t>
  </si>
  <si>
    <t>5JE201801ZZ0002-001</t>
  </si>
  <si>
    <t>5JE201801ZZ0003-001</t>
  </si>
  <si>
    <t>5JE201801ZZ0004-001</t>
  </si>
  <si>
    <t>5JE201801ZZ0005-001</t>
  </si>
  <si>
    <t>5JE201801ZZ0006-001</t>
  </si>
  <si>
    <t>5JE201801ZZ0007-001</t>
  </si>
  <si>
    <t>5JE201802ZZ0001-001</t>
  </si>
  <si>
    <t>5JE201802ZZ0002-001</t>
  </si>
  <si>
    <t>5JE201802ZZ0003-001</t>
  </si>
  <si>
    <t>5JE201802ZZ0004-001</t>
  </si>
  <si>
    <t>5JE201804ZZ0001-001</t>
  </si>
  <si>
    <t>5JE201805ZZ0001-001</t>
  </si>
  <si>
    <t>5JE201806ZZ0001-001</t>
  </si>
  <si>
    <t>5JE201806ZZ0002-001</t>
  </si>
  <si>
    <t>5JE201811ZZ0001-000</t>
  </si>
  <si>
    <t>5JE201811ZZ0002-000</t>
  </si>
  <si>
    <t>5JE201811ZZ0003-000</t>
  </si>
  <si>
    <t>5JE201812ZZ0001-000</t>
  </si>
  <si>
    <t>5JE201812ZZ0002-000</t>
  </si>
  <si>
    <t>5JE201812ZZ0003-000</t>
  </si>
  <si>
    <t>5JE201812ZZ0004-000</t>
  </si>
  <si>
    <t>5JE201812ZZ0004-001</t>
  </si>
  <si>
    <t>5JE201812ZZ0005-000</t>
  </si>
  <si>
    <t>5JE201812ZZ0005-002</t>
  </si>
  <si>
    <t>5JE201908ZZ0001-000</t>
  </si>
  <si>
    <t>5JE201908ZZ0002-000</t>
  </si>
  <si>
    <t>5JE201909ZZ0001-000</t>
  </si>
  <si>
    <t>5JE201910ZZ0001-000</t>
  </si>
  <si>
    <t>5JE201911ZZ0001-000</t>
  </si>
  <si>
    <t>5JE201911ZZ0002-000</t>
  </si>
  <si>
    <t>5JE201911ZZ0003-000</t>
  </si>
  <si>
    <t>5JE202002ZZ0001-000</t>
  </si>
  <si>
    <t>5JE202006ZZ0001-000</t>
  </si>
  <si>
    <t>5JE202006ZZ0002-000</t>
  </si>
  <si>
    <t>5JE202006ZZ0003-000</t>
  </si>
  <si>
    <t>5JE202006ZZ0003-001</t>
  </si>
  <si>
    <t>5JE202006ZZ0003-002</t>
  </si>
  <si>
    <t>5JE202006ZZ0003-003</t>
  </si>
  <si>
    <t>5JE202006ZZ0003-004</t>
  </si>
  <si>
    <t>5JE202006ZZ0003-005</t>
  </si>
  <si>
    <t>5JE202006ZZ0004-000</t>
  </si>
  <si>
    <t>5JE202006ZZ0005-000</t>
  </si>
  <si>
    <t>5JE202009JT0001-000</t>
  </si>
  <si>
    <t>5JE202009JT0001-001</t>
  </si>
  <si>
    <t>5JE202010ZZ0001-000</t>
  </si>
  <si>
    <t>5JE202108JT0002-000</t>
  </si>
  <si>
    <t>5JE202108ZZ0001-000</t>
  </si>
  <si>
    <t>5JE202203ZZ0001-000</t>
  </si>
  <si>
    <t>5TF201507ZZ0002-000</t>
  </si>
  <si>
    <t>5TF201507ZZ0003-000</t>
  </si>
  <si>
    <t>5TF201507ZZ0004-000</t>
  </si>
  <si>
    <t>5TF201507ZZ0005-000</t>
  </si>
  <si>
    <t>6JE199910ZZ0006-001</t>
  </si>
  <si>
    <t>6JE199910ZZ0008-001</t>
  </si>
  <si>
    <t>6JE200003ZZ0001-001</t>
  </si>
  <si>
    <t>6JE200011ZZ0009-001</t>
  </si>
  <si>
    <t>6JE200412ZZ0047-001</t>
  </si>
  <si>
    <t>6JE200704ZZ0005-001</t>
  </si>
  <si>
    <t>6JE200711JT0027-001</t>
  </si>
  <si>
    <t>6JE200711JT0028-001</t>
  </si>
  <si>
    <t>6JE200712ZZ0029-001</t>
  </si>
  <si>
    <t>6JE200807ZZ0006-001</t>
  </si>
  <si>
    <t>6JE201103ZZ0020-001</t>
  </si>
  <si>
    <t>6JE201105ZZ0002-001</t>
  </si>
  <si>
    <t>6JE201105ZZ0003-001</t>
  </si>
  <si>
    <t>6JE201111ZZ0020-001</t>
  </si>
  <si>
    <t>6JE201111ZZ0022-001</t>
  </si>
  <si>
    <t>6JE201201ZZ0026-001</t>
  </si>
  <si>
    <t>6JE201201ZZ0027-001</t>
  </si>
  <si>
    <t>6JE201201ZZ0028-001</t>
  </si>
  <si>
    <t>6JE201201ZZ0029-001</t>
  </si>
  <si>
    <t>6JE201201ZZ0030-001</t>
  </si>
  <si>
    <t>6JE201201ZZ0031-001</t>
  </si>
  <si>
    <t>6JE201208ZZ0009-001</t>
  </si>
  <si>
    <t>6JE201404ZZ0003-001</t>
  </si>
  <si>
    <t>6JE201507ZZ0001-001</t>
  </si>
  <si>
    <t>6JE201507ZZ0002-001</t>
  </si>
  <si>
    <t>6JE201507ZZ0003-001</t>
  </si>
  <si>
    <t>6JE201507ZZ0004-001</t>
  </si>
  <si>
    <t>6JE201507ZZ0005-001</t>
  </si>
  <si>
    <t>6JE201507ZZ0006-001</t>
  </si>
  <si>
    <t>6JE201507ZZ0007-001</t>
  </si>
  <si>
    <t>6JE201507ZZ0008-001</t>
  </si>
  <si>
    <t>6JE201507ZZ0009-001</t>
  </si>
  <si>
    <t>6JE201507ZZ0010-001</t>
  </si>
  <si>
    <t>6JE201507ZZ0011-001</t>
  </si>
  <si>
    <t>6JE201607ZZ0001-001</t>
  </si>
  <si>
    <t>6JE201609ZZ0002-001</t>
  </si>
  <si>
    <t>6JE201609ZZ0003-001</t>
  </si>
  <si>
    <t>6JE201703ZZ0005-001</t>
  </si>
  <si>
    <t>6JE201704ZZ0001-001</t>
  </si>
  <si>
    <t>6JE201704ZZ0002-001</t>
  </si>
  <si>
    <t>6JE201706ZZ0001-001</t>
  </si>
  <si>
    <t>6JE201707ZZ0001-001</t>
  </si>
  <si>
    <t>6JE201805ZZ0001-001</t>
  </si>
  <si>
    <t>6JE201806ZZ0001-001</t>
  </si>
  <si>
    <t>6JE201807ZZ0001-001</t>
  </si>
  <si>
    <t>6JE201808ZZ0001-000</t>
  </si>
  <si>
    <t>6JE201812ZZ0001-000</t>
  </si>
  <si>
    <t>6JE201812ZZ0002-000</t>
  </si>
  <si>
    <t>6JE201812ZZ0003-000</t>
  </si>
  <si>
    <t>6JE201812ZZ0004-000</t>
  </si>
  <si>
    <t>6JE201905ZZ0001-000</t>
  </si>
  <si>
    <t>6JE201911ZZ0001-000</t>
  </si>
  <si>
    <t>6JE202212ZZ0001-000</t>
  </si>
  <si>
    <t>7JE200312ZZ0040-001</t>
  </si>
  <si>
    <t>7JE200405ZZ0018-001</t>
  </si>
  <si>
    <t>7JE200412ZZ0039-001</t>
  </si>
  <si>
    <t>7JE200502ZZ0011-001</t>
  </si>
  <si>
    <t>7JE200502ZZ0012-001</t>
  </si>
  <si>
    <t>7JE201701ZZ0001-001</t>
  </si>
  <si>
    <t>7JE201705ZZ0001-001</t>
  </si>
  <si>
    <t>7JE201709ZZ0001-001</t>
  </si>
  <si>
    <t>7JE201710ZZ0001-001</t>
  </si>
  <si>
    <t>7JE201712ZZ0001-001</t>
  </si>
  <si>
    <t>7JE201909ZZ0001-000</t>
  </si>
  <si>
    <t>7JE201911ZZ0001-000</t>
  </si>
  <si>
    <t>7JE202002ZZ0001-000</t>
  </si>
  <si>
    <t>7JE202006ZZ0001-000</t>
  </si>
  <si>
    <t>6-99-113</t>
  </si>
  <si>
    <t>6-99-114</t>
  </si>
  <si>
    <t>6-03-004</t>
  </si>
  <si>
    <t>6-05-019</t>
  </si>
  <si>
    <t>6-07-026</t>
  </si>
  <si>
    <t>6-10-002</t>
  </si>
  <si>
    <t>6-10-013</t>
  </si>
  <si>
    <t>6-10-017</t>
  </si>
  <si>
    <t>6-11-005</t>
  </si>
  <si>
    <t>6-11-008</t>
  </si>
  <si>
    <t>6-12-003</t>
  </si>
  <si>
    <t>6-12-004</t>
  </si>
  <si>
    <t>6-13-017</t>
  </si>
  <si>
    <t>6-13-018</t>
  </si>
  <si>
    <t>6-13-020</t>
  </si>
  <si>
    <t>6-13-021</t>
  </si>
  <si>
    <t>6-14-016</t>
  </si>
  <si>
    <t>6-14-017</t>
  </si>
  <si>
    <t>6-14-018</t>
  </si>
  <si>
    <t>6-14-019</t>
  </si>
  <si>
    <t>6-14-020</t>
  </si>
  <si>
    <t>6-14-022</t>
  </si>
  <si>
    <t>6-15-001</t>
  </si>
  <si>
    <t>6-15-002</t>
  </si>
  <si>
    <t>6-15-003</t>
  </si>
  <si>
    <t>6-15-004</t>
  </si>
  <si>
    <t>6-15-005</t>
  </si>
  <si>
    <t>6-15-006</t>
  </si>
  <si>
    <t>6-15-007</t>
  </si>
  <si>
    <t>6-15-008</t>
  </si>
  <si>
    <t>6-15-009</t>
  </si>
  <si>
    <t>6-14-021</t>
  </si>
  <si>
    <t>6-15-010</t>
  </si>
  <si>
    <t>6-15-011</t>
  </si>
  <si>
    <t>6-15-012</t>
  </si>
  <si>
    <t>6-15-016</t>
  </si>
  <si>
    <t>6-15-017</t>
  </si>
  <si>
    <t>6-16-015-001</t>
  </si>
  <si>
    <t>6-16-016-001</t>
  </si>
  <si>
    <t>5-99-006</t>
  </si>
  <si>
    <t>5-99-008</t>
  </si>
  <si>
    <t>5-00-001</t>
  </si>
  <si>
    <t>5-00-009</t>
  </si>
  <si>
    <t>5-04-047</t>
  </si>
  <si>
    <t>5-07-005</t>
  </si>
  <si>
    <t>5-07-027</t>
  </si>
  <si>
    <t>5-07-028</t>
  </si>
  <si>
    <t>5-07-029</t>
  </si>
  <si>
    <t>5-08-006</t>
  </si>
  <si>
    <t>5-10-020</t>
  </si>
  <si>
    <t>5-11-002</t>
  </si>
  <si>
    <t>5-11-003</t>
  </si>
  <si>
    <t>5-11-020</t>
  </si>
  <si>
    <t>5-11-022</t>
  </si>
  <si>
    <t>5-11-026</t>
  </si>
  <si>
    <t>5-11-027</t>
  </si>
  <si>
    <t>5-11-028</t>
  </si>
  <si>
    <t>5-11-029</t>
  </si>
  <si>
    <t>5-11-030</t>
  </si>
  <si>
    <t>5-11-031</t>
  </si>
  <si>
    <t>5-12-009</t>
  </si>
  <si>
    <t>5-14-003</t>
  </si>
  <si>
    <t>5-15-001</t>
  </si>
  <si>
    <t>5-15-002</t>
  </si>
  <si>
    <t>5-15-003</t>
  </si>
  <si>
    <t>5-15-004</t>
  </si>
  <si>
    <t>5-15-005</t>
  </si>
  <si>
    <t>5-15-006</t>
  </si>
  <si>
    <t>5-15-007</t>
  </si>
  <si>
    <t>5-15-008</t>
  </si>
  <si>
    <t>5-15-009</t>
  </si>
  <si>
    <t>5-15-010</t>
  </si>
  <si>
    <t>5-15-011</t>
  </si>
  <si>
    <t>5-16-005-001</t>
  </si>
  <si>
    <t>5-03-040</t>
  </si>
  <si>
    <t>5-04-018</t>
  </si>
  <si>
    <t>5-04-039</t>
  </si>
  <si>
    <t>5-05-011</t>
  </si>
  <si>
    <t>5-05-012</t>
  </si>
  <si>
    <t>5-16-004-001</t>
  </si>
  <si>
    <t>配電盤</t>
  </si>
  <si>
    <t>JETY白河工場　LAN構築工事</t>
  </si>
  <si>
    <t>白河工場ネットワーク構築費用（WAN）</t>
  </si>
  <si>
    <t>クリーンドライルーム</t>
  </si>
  <si>
    <t>白河工場ユーティリティー</t>
  </si>
  <si>
    <t>電解液ブース</t>
  </si>
  <si>
    <t>淺田ミキサーブース　本体</t>
  </si>
  <si>
    <t>淺田ミキサーブース　HEPAフィルター</t>
  </si>
  <si>
    <t>品管大部屋事務所アルミパーテーション</t>
  </si>
  <si>
    <t>LED照明器具</t>
  </si>
  <si>
    <t>品管恒温室 アルミパーテーション一式</t>
  </si>
  <si>
    <t>個別エアコン 一次側電源工事</t>
  </si>
  <si>
    <t>アルミパーテーション(2期-2,スラリー工程エリア分のみ)</t>
  </si>
  <si>
    <t>ビルマルチ型エアコン、天井吊り型エアコン、天井カセット型エアコン、マルチキューブ型エアコン</t>
  </si>
  <si>
    <t>ビルマルチ型エアコン、天井カセット型エアコン</t>
  </si>
  <si>
    <t>ITM(インテリジェント タッチ マネージャー)</t>
  </si>
  <si>
    <t>アルミパーテーション(3期-1)、高速シートシャッター</t>
  </si>
  <si>
    <t>2Fサーバー室エアコン</t>
  </si>
  <si>
    <t>2Fサーバー前室エアコン</t>
  </si>
  <si>
    <t>白河第1工場1F入退出管理システム</t>
  </si>
  <si>
    <t>第1工場2Fサーバー室　引戸扉</t>
  </si>
  <si>
    <t>電気設備工事　電極工程ユーティリティ　2020年度</t>
  </si>
  <si>
    <t>純水設備工事　電極工程ユーティリティ　2020年度</t>
  </si>
  <si>
    <t>排気ダクト工事　電極工程ユーティリティ　2020年度</t>
  </si>
  <si>
    <t>塗工機エリア アルミパーテーション</t>
  </si>
  <si>
    <t>北側防火壁</t>
  </si>
  <si>
    <t>南側柱No.12防火壁</t>
  </si>
  <si>
    <t>南側柱No.6防火壁</t>
  </si>
  <si>
    <t>PRIMIX#2　クリーンブース</t>
  </si>
  <si>
    <t>スリッターTB2　クリーンブース</t>
  </si>
  <si>
    <t>有圧扇</t>
  </si>
  <si>
    <t>コンプレッサー用排気ダクト</t>
  </si>
  <si>
    <t>搬出入口 扉</t>
  </si>
  <si>
    <t>JETYエリア1F LED照明化工事</t>
  </si>
  <si>
    <t>守衛室エアコン換気設備工事</t>
  </si>
  <si>
    <t>白河第1工場入退出管理システム2期工事</t>
  </si>
  <si>
    <t>ポリマー廃液配管</t>
  </si>
  <si>
    <t>熱風乾燥機 PHH-101</t>
  </si>
  <si>
    <t>真空乾燥2号機用真空ﾎﾟﾝﾌﾟ</t>
  </si>
  <si>
    <t>真空ﾎﾟﾝﾌﾟ</t>
  </si>
  <si>
    <t>PASｷｬﾊﾟｼﾀ　恒温槽</t>
  </si>
  <si>
    <t>ﾘﾁｳﾑ切断装置　SECM-00008</t>
  </si>
  <si>
    <t>真空ﾎﾟﾝﾌﾟ　真空乾燥4号機</t>
  </si>
  <si>
    <t>真空乾燥機　(14号機)</t>
  </si>
  <si>
    <t>ｼﾘﾝﾀﾞLIC　電極乾燥部品　(14号機)</t>
  </si>
  <si>
    <t>真空乾燥機14号 改造</t>
  </si>
  <si>
    <t>ｼﾘﾝﾀﾞLIC 充放電試装置　(日鉄）</t>
  </si>
  <si>
    <t>充放電試験機1号機　基盤ｸﾘｯﾌﾟ交換</t>
  </si>
  <si>
    <t>ｴﾈﾙｷﾞｰ分散型蛍光X線分析装置</t>
  </si>
  <si>
    <t>ｴﾈﾙｷﾞｰ分散型蛍光X線分析装置 EDX-GP用分析</t>
  </si>
  <si>
    <t>真空乾燥機 φ8･10用</t>
  </si>
  <si>
    <t>真空乾燥機17号 φ8･10用 改造</t>
  </si>
  <si>
    <t>恒温恒湿器　PR-2KP型</t>
  </si>
  <si>
    <t>ｼﾘﾝﾀﾞ型PAS･LIC 真空乾燥機27号　</t>
  </si>
  <si>
    <t>ｼﾘﾝﾀﾞ型PAS･LIC 真空乾燥機27号 改造</t>
  </si>
  <si>
    <t>ｼﾘﾝﾀﾞ型PAS･LIC 真空乾燥機26号</t>
  </si>
  <si>
    <t>ｼﾘﾝﾀﾞ型PAS･LIC 真空乾燥機26号 改造</t>
  </si>
  <si>
    <t>円筒型LIC巻回機JTY-700型ﾘﾁｳﾑ供給部</t>
  </si>
  <si>
    <t>ｼﾘﾝﾀﾞ型PAS φ10含浸付組立機用真空ﾎﾟﾝﾌﾟ</t>
  </si>
  <si>
    <t>OCV装置</t>
  </si>
  <si>
    <t>ｽｸﾘｰﾆﾝｸﾞ工程管理ｿﾌﾄ</t>
  </si>
  <si>
    <t>いすゞ製恒温槽一式･棚板　(5号機・6号機）</t>
  </si>
  <si>
    <t>恒温恒湿槽PR-2KP №14024231</t>
  </si>
  <si>
    <t>恒温恒湿槽PR-2KP №14024239</t>
  </si>
  <si>
    <t>恒温恒湿槽PR-2KP №14024248</t>
  </si>
  <si>
    <t>恒温恒湿槽PR-2KP №14024247</t>
  </si>
  <si>
    <t>恒温恒湿槽PR-2KP №14024249</t>
  </si>
  <si>
    <t>CLW自動組立1号機</t>
  </si>
  <si>
    <t>CLW自動組立1号機　手動封口機</t>
  </si>
  <si>
    <t>CLW自動組立1号機 　ﾀﾌﾞｶｯﾄ整列装置</t>
  </si>
  <si>
    <t>高温恒湿試験器　PR-3J　№15008551</t>
  </si>
  <si>
    <t>高温恒湿試験器　PR-3J　№150085558</t>
  </si>
  <si>
    <t>いすゞ製恒温槽　VRL-2880-2T　(7号機)</t>
  </si>
  <si>
    <t>真空乾燥機30号機　DP63PZ</t>
  </si>
  <si>
    <t>真空乾燥機31号機　DP63PZ</t>
  </si>
  <si>
    <t>ｼﾘﾝﾀﾞ型LICｽﾘｰﾌﾞ装着機　供給ｽﾀｯｶｰ　№1</t>
  </si>
  <si>
    <t>ｼﾘﾝﾀﾞ型LICｽﾘｰﾌﾞ装着機　供給ｽﾀｯｶｰ　№2</t>
  </si>
  <si>
    <t>ｼﾘﾝﾀﾞ型LICｽﾘｰﾌﾞ装着機　供給ｽﾀｯｶｰ　№3</t>
  </si>
  <si>
    <t>冷熱衝撃試験機TSA-73ES-A　№155000125</t>
  </si>
  <si>
    <t>円筒LIC巻回機 JTY-700型</t>
  </si>
  <si>
    <t>LIC用新巻回機剥離装置</t>
  </si>
  <si>
    <t>円筒LIC巻回機　ﾚｰｻﾞ照射安全ｶﾊﾞｰ</t>
  </si>
  <si>
    <t>JTY-700　予備ｶｼﾒﾕﾆｯﾄ</t>
  </si>
  <si>
    <t>中小型ﾘﾁｳﾑｲｵﾝｷｬﾊﾟｼﾀ用ｽﾘｰﾌﾞ掛機</t>
  </si>
  <si>
    <t>ｽﾘｰﾌﾞ装着機　良否判定条件ｿﾌﾄ</t>
  </si>
  <si>
    <t>JCCE製　自動スリーブ装置機　98個入りトレイ対応改造</t>
  </si>
  <si>
    <t>ｼﾘﾝﾀﾞ型LICｽﾘｰﾌﾞ装着機　供給ｽﾀｯｶｰ　№4</t>
  </si>
  <si>
    <t>A5ﾗｲﾝ用集塵機　PIE-120NM</t>
  </si>
  <si>
    <t>防爆ﾍﾞﾝﾄ付き恒温器SPHH-202</t>
  </si>
  <si>
    <t>LICﾌｫｰﾐﾝｸﾞｶｯﾄ機　EFC-100型</t>
  </si>
  <si>
    <t>充放電装置1･2号機</t>
  </si>
  <si>
    <t>恒温槽VTRL-2880-2T　(8号機)</t>
  </si>
  <si>
    <t>恒温槽VTRL-2880-2T　(9号機)</t>
  </si>
  <si>
    <t>ｽﾗﾘｰ移送ﾓｰﾉﾎﾟﾝﾌﾟ2NBL10F</t>
  </si>
  <si>
    <t>ﾘﾁｳﾑｲｵﾝｷｬﾊﾟｼﾀ用　真空乾燥機DP610PZ　32号機</t>
  </si>
  <si>
    <t>ﾘﾁｳﾑｲｵﾝｷｬﾊﾟｼﾀ用　真空乾燥機DP610　33号機</t>
  </si>
  <si>
    <t>FMC製 ﾚｰｻﾞｰﾏｰｶｰ装置　手動挿入ﾀｲﾌﾟ</t>
  </si>
  <si>
    <t>恒温恒湿器PR-3J　12号機</t>
  </si>
  <si>
    <t>恒温恒湿器PR-3J　13号機</t>
  </si>
  <si>
    <t>CLW自動組立2号機</t>
  </si>
  <si>
    <t>恒温槽VTRL-2880-2T　(10号機)</t>
  </si>
  <si>
    <t>恒温槽VTRL-2880-2T　(11号機)</t>
  </si>
  <si>
    <t>SEC製　半自動充放電検査装置5V3A×200ch3号･4号機</t>
  </si>
  <si>
    <t>FMC製 自動スリーブ装着機</t>
  </si>
  <si>
    <t>FMC製自動ｽﾘｰﾌﾞ装着機</t>
  </si>
  <si>
    <t>FMC製　自動スリーブ装着機　98個入りトレイ対応改造</t>
  </si>
  <si>
    <t>トレイ詰替え機　98個入りトレイ対応改造</t>
  </si>
  <si>
    <t>CLW自動組立3号機</t>
  </si>
  <si>
    <t>CPW専用スラリー供給タンク</t>
  </si>
  <si>
    <t>ﾐﾂﾔ製ｽﾀｯｶｰ M0001</t>
  </si>
  <si>
    <t>ﾐﾂﾔ製ｽﾀｯｶｰ M0002</t>
  </si>
  <si>
    <t>ﾐﾂﾔ製ｽﾀｯｶｰ M0003</t>
  </si>
  <si>
    <t>ﾐﾂﾔ製ｽﾀｯｶｰ M0004</t>
  </si>
  <si>
    <t>集塵機 №12684</t>
  </si>
  <si>
    <t>集塵機 №12685</t>
  </si>
  <si>
    <t>集塵機 №12686</t>
  </si>
  <si>
    <t>ﾄﾚｲ詰替機　検査ﾄﾚｲ･白ﾄﾚｲ</t>
  </si>
  <si>
    <t>Φ10、φ12.5、φ18　98個入り検査トレイ　切替</t>
  </si>
  <si>
    <t>真空乾燥機34号機</t>
  </si>
  <si>
    <t>真空乾燥機35号機</t>
  </si>
  <si>
    <t>CLW40F用自動検査装置</t>
  </si>
  <si>
    <t>LIC自動電圧測定設備</t>
  </si>
  <si>
    <t>出荷用ﾄﾚｲ自動詰替装置</t>
  </si>
  <si>
    <t>捲回機　JTY-710型</t>
  </si>
  <si>
    <t>JTY-710型　Φ10×30L用　切替部品</t>
  </si>
  <si>
    <t>JTY-710型改造</t>
  </si>
  <si>
    <t>ﾐﾂﾔ製ｽﾀｯｶｰ M0005</t>
  </si>
  <si>
    <t>ﾐﾂﾔ製ｽﾀｯｶｰ M0006</t>
  </si>
  <si>
    <t>ﾐﾂﾔ製ｽﾀｯｶｰ M0007</t>
  </si>
  <si>
    <t>ﾐﾂﾔ製ｽﾀｯｶｰ M0008</t>
  </si>
  <si>
    <t>ﾐﾂﾔ製ｽﾀｯｶｰ M0009</t>
  </si>
  <si>
    <t>ﾐﾂﾔ製ｽﾀｯｶｰ M0010</t>
  </si>
  <si>
    <t>JTY-700型用 集塵機 VF-2S　HEPAﾌｨﾙﾀｰ</t>
  </si>
  <si>
    <t>CLW自動組立2号機　ﾀﾌﾞｶｯﾄ整列装置</t>
  </si>
  <si>
    <t>CLW自動組立4号機</t>
  </si>
  <si>
    <t>CLW自動組立4号機　φ12.5用切替部品</t>
  </si>
  <si>
    <t>日立塗工機ﾀﾞｲﾍｯﾄﾞ3号</t>
  </si>
  <si>
    <t>スラリー供給ポンプ　2号機</t>
  </si>
  <si>
    <t>CLW ﾏﾙﾁﾘｰﾄﾞｶｯﾄ装置</t>
  </si>
  <si>
    <t>結束機</t>
  </si>
  <si>
    <t>ｼｭﾘﾝｸ機</t>
  </si>
  <si>
    <t>スラリー供給タンク</t>
  </si>
  <si>
    <t>JTY-720型</t>
  </si>
  <si>
    <t>集塵機5号機</t>
  </si>
  <si>
    <t>集塵機6号機</t>
  </si>
  <si>
    <t>自動検査装置</t>
  </si>
  <si>
    <t>機電製恒温槽7号機</t>
  </si>
  <si>
    <t>CLW自動組立5号機</t>
  </si>
  <si>
    <t>機電製恒温槽8号機</t>
  </si>
  <si>
    <t>ORION　ヒートレスドライヤー</t>
  </si>
  <si>
    <t>三井精機　レシーバータンク　1000L</t>
  </si>
  <si>
    <t>コンプレッサー</t>
  </si>
  <si>
    <t>自動洗浄機2号機</t>
  </si>
  <si>
    <t>CLW素子選別ケース挿入装置</t>
  </si>
  <si>
    <t>JTY-720型 Φ10×30L用 切替部品</t>
  </si>
  <si>
    <t>第二種圧力容器</t>
  </si>
  <si>
    <t>粘度計</t>
  </si>
  <si>
    <t>兵神モーノポンプ</t>
  </si>
  <si>
    <t>淺田ミキサー</t>
  </si>
  <si>
    <t>EDLC塗工機　本体</t>
  </si>
  <si>
    <t>EDLC機用三菱ダイヘッド</t>
  </si>
  <si>
    <t>EDLC塗工機　チェーンリフター</t>
  </si>
  <si>
    <t>EDLC塗工機　安全扉</t>
  </si>
  <si>
    <t>EDLC塗工機用グラビアロール</t>
  </si>
  <si>
    <t>EDLC用塗工機　ニップロール調整ダイヤル化</t>
  </si>
  <si>
    <t>集塵機　HEPAフィルター</t>
  </si>
  <si>
    <t>ロール搬送用リフター</t>
  </si>
  <si>
    <t>LIT#2塗工機 （東レエンジニアリング製塗工２号機）</t>
  </si>
  <si>
    <t>LIT#2　インライン厚さ計</t>
  </si>
  <si>
    <t>LIT自動電圧測定機</t>
  </si>
  <si>
    <t>EDLC塗工機用グラビアロール #2</t>
  </si>
  <si>
    <t>EDLC機用三菱ダイヘッド #2</t>
  </si>
  <si>
    <t>集塵機</t>
  </si>
  <si>
    <t>真空乾燥機36号機</t>
  </si>
  <si>
    <t>真空乾燥機37号機</t>
  </si>
  <si>
    <t>真空乾燥機38号機</t>
  </si>
  <si>
    <t>真空乾燥機39号機</t>
  </si>
  <si>
    <t>実体顕微鏡</t>
  </si>
  <si>
    <t>電子天秤</t>
  </si>
  <si>
    <t>実体顕微鏡(ﾆｺﾝSMZ800)</t>
  </si>
  <si>
    <t>ﾊﾝﾃﾞｨ露点計</t>
  </si>
  <si>
    <t>ﾊﾞｰｺｰﾄﾞﾌﾟﾘﾝﾀ</t>
  </si>
  <si>
    <t>冷蔵ｼｮｰｹｰｽ</t>
  </si>
  <si>
    <t>ｼﾘﾝﾀﾞ 封口ｺﾞﾑ金型 φ10</t>
  </si>
  <si>
    <t>ﾍﾟｰﾊﾟｰﾚｽﾚｺｰﾀﾞ　TR-V1050</t>
  </si>
  <si>
    <t>高速度ｶﾒﾗ　PLEXLOGGER PL1-C20JX</t>
  </si>
  <si>
    <t>ｼﾘﾝﾀﾞ封口ｺﾞﾑ金型φ8</t>
  </si>
  <si>
    <t>粘度計　TVB-10R</t>
  </si>
  <si>
    <t>充放電試験装置 HJ-1005SD8</t>
  </si>
  <si>
    <t>充放電装置用ﾗｯｸ</t>
  </si>
  <si>
    <t>ｼﾘﾝﾀﾞ封口ｺﾞﾑ金型 φ12mm</t>
  </si>
  <si>
    <t>X線透過検査装置</t>
  </si>
  <si>
    <t>洗浄ﾄﾚｲ金型TYPE1　全体金型</t>
  </si>
  <si>
    <t>洗浄ﾄﾚｲ金型TYPE2　入れｺｱ上下</t>
  </si>
  <si>
    <t>洗浄ﾄﾚｲ金型TYPE3　入れｺｱ上下</t>
  </si>
  <si>
    <t>充放電試験装置HJ1010SD8</t>
  </si>
  <si>
    <t>電話･放送設備</t>
  </si>
  <si>
    <t>LIC用検査ﾄﾚｲ全体金型</t>
  </si>
  <si>
    <t>LIC用検査ﾄﾚｲ金型　入れｺｱ</t>
  </si>
  <si>
    <t>画像寸法測定器IMｼﾘｰｽﾞ</t>
  </si>
  <si>
    <t>LIC1235R用ﾄﾚｲ金型</t>
  </si>
  <si>
    <t>LIC1840R用ﾄﾚｲ金型</t>
  </si>
  <si>
    <t>マルチ水質計</t>
  </si>
  <si>
    <t>１２．５φ用自動組立機用　VAISALA露点計</t>
  </si>
  <si>
    <t>φ１２シリンダ型ハーネス用トレイ金型</t>
  </si>
  <si>
    <t>φ18シリンダ型Ｌ曲げ用トレイ量産金型</t>
  </si>
  <si>
    <t>φ10用キャパシタ用トレイ量産金型</t>
  </si>
  <si>
    <t>φ10洗浄ﾄﾚｲ金型</t>
  </si>
  <si>
    <t>φ10検査ﾄﾚｲ金型</t>
  </si>
  <si>
    <t>自動検査装置用98個入検査ﾄﾚｲ（φ10用)金型</t>
  </si>
  <si>
    <t>WEB商社向け　個別梱包用ﾄﾚｲ金型</t>
  </si>
  <si>
    <t>98個　検査用トレイ金型</t>
  </si>
  <si>
    <t>98個　検査用トレイ金型　Φ10用入れ子部品</t>
  </si>
  <si>
    <t>98個　検査用トレイ金型　Φ12用入れ子部品</t>
  </si>
  <si>
    <t>98個　検査用トレイ金型　Φ18用入れ子部品</t>
  </si>
  <si>
    <t>φ10×30Lトレイ金型（50個入り）</t>
  </si>
  <si>
    <t>LIC40F用トレイ金型(40個入り)</t>
  </si>
  <si>
    <t>白河工場内線電話交換機</t>
  </si>
  <si>
    <t>精密騒音計</t>
  </si>
  <si>
    <t>ｼｭﾚｯﾀﾞｰ</t>
  </si>
  <si>
    <t>ﾃﾞｼﾞﾀﾙｵｼﾛｽｺｰﾌﾟDS-8812</t>
  </si>
  <si>
    <t>会議室用ﾃｰﾌﾞﾙ</t>
  </si>
  <si>
    <t>会議室用ｲｽｾｯﾄ</t>
  </si>
  <si>
    <t>自動組立機40F･100F用注液ﾎﾟﾝﾌﾟ</t>
  </si>
  <si>
    <t>品質管理ＤＢ用ラックサーバ一式</t>
  </si>
  <si>
    <t>製品出荷用ﾊﾞｰｺｰﾄﾞﾌﾟﾘﾝﾀ</t>
  </si>
  <si>
    <t>ﾚｰｻﾞｰﾊﾟﾜｰﾒｰﾀｰ</t>
  </si>
  <si>
    <t>画像寸法測定器</t>
  </si>
  <si>
    <t>勤怠管理用システムタイムレコーダー</t>
  </si>
  <si>
    <t>製造ラベル用プリンター</t>
  </si>
  <si>
    <t>パーティクルカウンター</t>
  </si>
  <si>
    <t>デジタルマイクロスコープVHX-5000</t>
  </si>
  <si>
    <t>大谷電機</t>
  </si>
  <si>
    <t>東洋電信電話工業株式会社</t>
  </si>
  <si>
    <t>太陽誘電株式会社</t>
  </si>
  <si>
    <t>株式会社西部技研</t>
  </si>
  <si>
    <t>株式会社ナカジマエレテック</t>
  </si>
  <si>
    <t>岩瀬産業㈱</t>
  </si>
  <si>
    <t>㈱ミスミ</t>
  </si>
  <si>
    <t>サンヴァーテックス（拠点連動）</t>
  </si>
  <si>
    <t>ダイキンエアテクノ株式会社　東北営業所</t>
  </si>
  <si>
    <t>本社支払ダミー</t>
  </si>
  <si>
    <t>株式会社みなとや</t>
  </si>
  <si>
    <t>㈱ヒルマ機工</t>
  </si>
  <si>
    <t>ALSOK福島株式会社　</t>
  </si>
  <si>
    <t>マサモト㈱</t>
  </si>
  <si>
    <t>コムベックス㈱</t>
  </si>
  <si>
    <t>株式会社ソフトエナジーコントロールズ</t>
  </si>
  <si>
    <t>ジェーシーシーエンジニアリング株式会社</t>
  </si>
  <si>
    <t>アマノ㈱</t>
  </si>
  <si>
    <t>㈱フューメック</t>
  </si>
  <si>
    <t>社内生産</t>
  </si>
  <si>
    <t>大木理工機材㈱</t>
  </si>
  <si>
    <t>株式会社光輪精工</t>
  </si>
  <si>
    <t>太陽誘電㈱</t>
  </si>
  <si>
    <t>兵神装備株式会社</t>
  </si>
  <si>
    <t>㈱新村</t>
  </si>
  <si>
    <t>協和電機㈱</t>
  </si>
  <si>
    <t>第一実業株式会社</t>
  </si>
  <si>
    <t>浅田鉄工株式会社</t>
  </si>
  <si>
    <t>株式会社川上鉄工所</t>
  </si>
  <si>
    <t>セプラ株式会社</t>
  </si>
  <si>
    <t>アマノ株式会社高崎支店</t>
  </si>
  <si>
    <t>株式会社高橋機工</t>
  </si>
  <si>
    <t>旭日産業株式会社</t>
  </si>
  <si>
    <t>福島太陽誘電㈱</t>
  </si>
  <si>
    <t>㈱データビジネスサプライ</t>
  </si>
  <si>
    <t>㈱キーエンス</t>
  </si>
  <si>
    <t>シナノケンシ㈱</t>
  </si>
  <si>
    <t>東洋電信電話工業㈱</t>
  </si>
  <si>
    <t>㈱キーエンス　（経産委）</t>
  </si>
  <si>
    <t>ヒロパックス㈱</t>
  </si>
  <si>
    <t>岩瀬産業</t>
  </si>
  <si>
    <t>ニッポー㈱</t>
  </si>
  <si>
    <t>日本電気㈱　群馬支店</t>
  </si>
  <si>
    <t>株式会社データビジネスサプライ</t>
  </si>
  <si>
    <t>ミドリ安全群馬株式会社</t>
  </si>
  <si>
    <t>78JE10021S0000</t>
  </si>
  <si>
    <t>79JE10000S0500</t>
  </si>
  <si>
    <t>79JE10000S0100</t>
  </si>
  <si>
    <t>79JE10041-0000</t>
  </si>
  <si>
    <t>79JE10043-0000</t>
  </si>
  <si>
    <t>79JE10017S0000</t>
  </si>
  <si>
    <t>79JE30000S0000</t>
  </si>
  <si>
    <t>80JE10047S0000</t>
  </si>
  <si>
    <t>80JE10049S0000</t>
  </si>
  <si>
    <t>80JE10047S0100</t>
  </si>
  <si>
    <t>80JE10043S0200</t>
  </si>
  <si>
    <t>80JE10047-0200</t>
  </si>
  <si>
    <t>80JE10041-0000</t>
  </si>
  <si>
    <t>80JE10042S0000</t>
  </si>
  <si>
    <t>80JE10033S0300</t>
  </si>
  <si>
    <t>80JE10044S0000</t>
  </si>
  <si>
    <t>80JE10033S0400</t>
  </si>
  <si>
    <t>80JE30024S0000</t>
  </si>
  <si>
    <t>81JE10052-0000</t>
  </si>
  <si>
    <t>80JE10040-0200</t>
  </si>
  <si>
    <t>80JE30026S0000</t>
  </si>
  <si>
    <t>80JE30004S0000</t>
  </si>
  <si>
    <t>81JE30045S0100</t>
  </si>
  <si>
    <t>81JE10050S0000</t>
  </si>
  <si>
    <t>81JE30044S0000</t>
  </si>
  <si>
    <t>81JE10051S0000</t>
  </si>
  <si>
    <t>82JE10004-0000</t>
  </si>
  <si>
    <t>29-038</t>
  </si>
  <si>
    <t>26-031</t>
  </si>
  <si>
    <t>29-108</t>
  </si>
  <si>
    <t>30-031</t>
  </si>
  <si>
    <t>31-020</t>
  </si>
  <si>
    <t>33-082-1</t>
  </si>
  <si>
    <t>30-038</t>
  </si>
  <si>
    <t>35-133</t>
  </si>
  <si>
    <t>31-009</t>
  </si>
  <si>
    <t>33-090</t>
  </si>
  <si>
    <t>31-042</t>
  </si>
  <si>
    <t>33-082</t>
  </si>
  <si>
    <t>31-011</t>
  </si>
  <si>
    <t>32-020</t>
  </si>
  <si>
    <t>33-082-3</t>
  </si>
  <si>
    <t>33-082-4</t>
  </si>
  <si>
    <t>33-058</t>
  </si>
  <si>
    <t>31-165-2</t>
  </si>
  <si>
    <t>33-070</t>
  </si>
  <si>
    <t>77JE10010S0000</t>
  </si>
  <si>
    <t>33-070-2</t>
  </si>
  <si>
    <t>34-035-1</t>
  </si>
  <si>
    <t>34-035-2</t>
  </si>
  <si>
    <t>34-035-3</t>
  </si>
  <si>
    <t>34-035-4</t>
  </si>
  <si>
    <t>34-035-5</t>
  </si>
  <si>
    <t>34-044</t>
  </si>
  <si>
    <t>33-077</t>
  </si>
  <si>
    <t>76JE10003S0001</t>
  </si>
  <si>
    <t>35-022-1</t>
  </si>
  <si>
    <t>35-022-2</t>
  </si>
  <si>
    <t>35-001</t>
  </si>
  <si>
    <t>34-063</t>
  </si>
  <si>
    <t>34-064</t>
  </si>
  <si>
    <t>34-066-1</t>
  </si>
  <si>
    <t>34-066-2</t>
  </si>
  <si>
    <t>34-066-3</t>
  </si>
  <si>
    <t>35-021</t>
  </si>
  <si>
    <t>33-087</t>
  </si>
  <si>
    <t>34-067</t>
  </si>
  <si>
    <t>35-048</t>
  </si>
  <si>
    <t>76JE18007SUP00</t>
  </si>
  <si>
    <t>34-051-1</t>
  </si>
  <si>
    <t>35-078</t>
  </si>
  <si>
    <t>77JE150001-UP00</t>
  </si>
  <si>
    <t>34-051-2</t>
  </si>
  <si>
    <t>34-076-1</t>
  </si>
  <si>
    <t>35-087</t>
  </si>
  <si>
    <t>35-065</t>
  </si>
  <si>
    <t>35-082</t>
  </si>
  <si>
    <t>35-105</t>
  </si>
  <si>
    <t>35-115</t>
  </si>
  <si>
    <t>36-018</t>
  </si>
  <si>
    <t>35-079</t>
  </si>
  <si>
    <t>35-080</t>
  </si>
  <si>
    <t>36-025</t>
  </si>
  <si>
    <t>36-027</t>
  </si>
  <si>
    <t>35-060</t>
  </si>
  <si>
    <t>36-047</t>
  </si>
  <si>
    <t>76JE10004S001</t>
  </si>
  <si>
    <t>76JE100004S0001</t>
  </si>
  <si>
    <t>77JE38002SUP00</t>
  </si>
  <si>
    <t>76JE15030SUP00</t>
  </si>
  <si>
    <t>76JE18011SUP00</t>
  </si>
  <si>
    <t>77JE10009S0000</t>
  </si>
  <si>
    <t>77JE10012S0000</t>
  </si>
  <si>
    <t>77JE10003S0000</t>
  </si>
  <si>
    <t>79JE10005S0000</t>
  </si>
  <si>
    <t>77JE10011S0000</t>
  </si>
  <si>
    <t>76JE10001S0000</t>
  </si>
  <si>
    <t>79JE18000SUP00</t>
  </si>
  <si>
    <t>77JE10001S0000</t>
  </si>
  <si>
    <t>76JE10004-0100</t>
  </si>
  <si>
    <t>78JE10002S0000</t>
  </si>
  <si>
    <t>78JE10020S0000</t>
  </si>
  <si>
    <t>77JE10009S0100</t>
  </si>
  <si>
    <t>77JE18002SUP00</t>
  </si>
  <si>
    <t>77JE10007S0100</t>
  </si>
  <si>
    <t>77JE10004S0000</t>
  </si>
  <si>
    <t>77JE10005-0000</t>
  </si>
  <si>
    <t>77JE10005S0200</t>
  </si>
  <si>
    <t>77JE10015S0100</t>
  </si>
  <si>
    <t>77JE10016S0000</t>
  </si>
  <si>
    <t>77JE10000S0000</t>
  </si>
  <si>
    <t>78JE10011S0000</t>
  </si>
  <si>
    <t>78JE10010S0000</t>
  </si>
  <si>
    <t>78JE10024S0000</t>
  </si>
  <si>
    <t>78JE15000-UP00</t>
  </si>
  <si>
    <t>79JE10039S0000</t>
  </si>
  <si>
    <t>79JE10044S0000</t>
  </si>
  <si>
    <t>79JE10040S0000</t>
  </si>
  <si>
    <t>79JE10009-0000</t>
  </si>
  <si>
    <t>78JE10005S0000</t>
  </si>
  <si>
    <t>79JE10035S0000</t>
  </si>
  <si>
    <t>79JE10018S0000</t>
  </si>
  <si>
    <t>78JE10025S0000</t>
  </si>
  <si>
    <t>78JE10023-0000</t>
  </si>
  <si>
    <t>78JE15001-UP00</t>
  </si>
  <si>
    <t>78JE15002-UP00</t>
  </si>
  <si>
    <t>79JE10033S0000</t>
  </si>
  <si>
    <t>79JE10033S0100</t>
  </si>
  <si>
    <t>80JE10014S0000</t>
  </si>
  <si>
    <t>80JE30004S0100</t>
  </si>
  <si>
    <t>79JE10045S0000</t>
  </si>
  <si>
    <t>79JE10033S0300</t>
  </si>
  <si>
    <t>78JE10028-0000</t>
  </si>
  <si>
    <t>80JE10031S0000</t>
  </si>
  <si>
    <t>80JE10014S0100</t>
  </si>
  <si>
    <t>80JE10019S0000</t>
  </si>
  <si>
    <t>81JE30042S0300</t>
  </si>
  <si>
    <t>77JE15001-UP00</t>
  </si>
  <si>
    <t>26-026-01</t>
  </si>
  <si>
    <t>27-063</t>
  </si>
  <si>
    <t>27-077</t>
  </si>
  <si>
    <t>28-032</t>
  </si>
  <si>
    <t>30-029</t>
  </si>
  <si>
    <t>31-013</t>
  </si>
  <si>
    <t>31-017</t>
  </si>
  <si>
    <t>31-002</t>
  </si>
  <si>
    <t>31-124</t>
  </si>
  <si>
    <t>31-088</t>
  </si>
  <si>
    <t>34-006</t>
  </si>
  <si>
    <t>35-006-1</t>
  </si>
  <si>
    <t>35-006-2</t>
  </si>
  <si>
    <t>35-006-3</t>
  </si>
  <si>
    <t>35-028-1</t>
  </si>
  <si>
    <t>35-028-2</t>
  </si>
  <si>
    <t>35-028-3</t>
  </si>
  <si>
    <t>35-020 35-043</t>
  </si>
  <si>
    <t>34-049</t>
  </si>
  <si>
    <t>34-050-1</t>
  </si>
  <si>
    <t>34-050-2</t>
  </si>
  <si>
    <t>34-050-3</t>
  </si>
  <si>
    <t>36-029</t>
  </si>
  <si>
    <t>34-034</t>
  </si>
  <si>
    <t>76JE18014SUP00</t>
  </si>
  <si>
    <t>76JE18003SUP00</t>
  </si>
  <si>
    <t>77JE10024S0000</t>
  </si>
  <si>
    <t>77JE10024S0100</t>
  </si>
  <si>
    <t>77JE38004SUP00</t>
  </si>
  <si>
    <t>78JE10012S0000</t>
  </si>
  <si>
    <t>78JE10014S0000</t>
  </si>
  <si>
    <t>78JE18000SUP00</t>
  </si>
  <si>
    <t>79JE10025S0000</t>
  </si>
  <si>
    <t>82JE30020S0400</t>
  </si>
  <si>
    <t>76JE18001SUP00</t>
  </si>
  <si>
    <t>76JE10016S0100</t>
  </si>
  <si>
    <t>77JE30014S0000</t>
  </si>
  <si>
    <t>77JE10007S0000</t>
  </si>
  <si>
    <t>77JE10013S0000</t>
  </si>
  <si>
    <t>79JE10000S0400</t>
  </si>
  <si>
    <t>79JE10029S0000</t>
  </si>
  <si>
    <t>79JE10006S0000</t>
  </si>
  <si>
    <t>80JE10032S0000</t>
  </si>
  <si>
    <t>69153102</t>
  </si>
  <si>
    <t>69450000</t>
  </si>
  <si>
    <t>69400001</t>
  </si>
  <si>
    <t>69159101</t>
  </si>
  <si>
    <t>69135001</t>
  </si>
  <si>
    <t>69135003</t>
  </si>
  <si>
    <t>69310001</t>
  </si>
  <si>
    <t>69152101</t>
  </si>
  <si>
    <t>69158101</t>
  </si>
  <si>
    <t>69151105</t>
  </si>
  <si>
    <t>69153101</t>
  </si>
  <si>
    <t>69153105</t>
  </si>
  <si>
    <t>69135002</t>
  </si>
  <si>
    <t>69200001</t>
  </si>
  <si>
    <t>69143102</t>
  </si>
  <si>
    <t>CLW　スクリーニング</t>
  </si>
  <si>
    <t>G)白河工場</t>
  </si>
  <si>
    <t>G)人事総務課</t>
  </si>
  <si>
    <t>CLW　共通</t>
  </si>
  <si>
    <t>電極　スラリ</t>
  </si>
  <si>
    <t>白河　電極　共通</t>
  </si>
  <si>
    <t>品質管理課</t>
  </si>
  <si>
    <t>CLW　組立</t>
  </si>
  <si>
    <t>製造部　設備技術</t>
  </si>
  <si>
    <t>CLW　捲回</t>
  </si>
  <si>
    <t>CLW　スリーブ掛け</t>
  </si>
  <si>
    <t>CLW　包装</t>
  </si>
  <si>
    <t>電極　塗工</t>
  </si>
  <si>
    <t>業務課</t>
  </si>
  <si>
    <t>CLW スクリーニング</t>
  </si>
  <si>
    <t>定額法</t>
  </si>
  <si>
    <t>旧定率法</t>
  </si>
  <si>
    <t>250%定率法</t>
  </si>
  <si>
    <t>200%定率法</t>
  </si>
  <si>
    <t>米島</t>
  </si>
  <si>
    <t>川添</t>
  </si>
  <si>
    <t>黒木</t>
  </si>
  <si>
    <t>池田</t>
  </si>
  <si>
    <t>関口典男</t>
  </si>
  <si>
    <t>川添和久</t>
  </si>
  <si>
    <t>倉田　仁</t>
  </si>
  <si>
    <t>遠藤</t>
  </si>
  <si>
    <t>小井土</t>
  </si>
  <si>
    <t>池田　征司</t>
  </si>
  <si>
    <t>松山</t>
  </si>
  <si>
    <t>倉田</t>
  </si>
  <si>
    <t>関口</t>
  </si>
  <si>
    <t>江原</t>
  </si>
  <si>
    <t>中島</t>
  </si>
  <si>
    <t>黒木　延之</t>
  </si>
  <si>
    <t>0900000030</t>
  </si>
  <si>
    <t>0900000040</t>
  </si>
  <si>
    <t>0900009001</t>
  </si>
  <si>
    <t>0900009002</t>
  </si>
  <si>
    <t>0900002004</t>
  </si>
  <si>
    <t>0900002001</t>
  </si>
  <si>
    <t>白河工場　１Ｆ</t>
  </si>
  <si>
    <t>白河工場　２Ｆ</t>
  </si>
  <si>
    <t>聯華金社</t>
  </si>
  <si>
    <t>韓国</t>
  </si>
  <si>
    <t>ﾋﾛﾊﾟｯｸｽ㈱</t>
  </si>
  <si>
    <t>ﾆｯﾎﾟｰ㈱</t>
  </si>
  <si>
    <t>前橋工場　１Ｆ</t>
  </si>
  <si>
    <t>前橋工場　２Ｆ</t>
  </si>
  <si>
    <t>㈱いわき</t>
  </si>
  <si>
    <t>小里機材㈱</t>
  </si>
  <si>
    <t>CLW</t>
    <phoneticPr fontId="2"/>
  </si>
  <si>
    <t>CDW</t>
    <phoneticPr fontId="2"/>
  </si>
  <si>
    <t>XEH</t>
    <phoneticPr fontId="2"/>
  </si>
  <si>
    <t>関口</t>
    <rPh sb="0" eb="2">
      <t>セキグチ</t>
    </rPh>
    <phoneticPr fontId="2"/>
  </si>
  <si>
    <t>長嶋</t>
    <rPh sb="0" eb="2">
      <t>ナガシマ</t>
    </rPh>
    <phoneticPr fontId="2"/>
  </si>
  <si>
    <t>米島</t>
    <phoneticPr fontId="2"/>
  </si>
  <si>
    <t>川添</t>
    <rPh sb="0" eb="2">
      <t>カワゾエ</t>
    </rPh>
    <phoneticPr fontId="2"/>
  </si>
  <si>
    <t>dummy</t>
    <phoneticPr fontId="2"/>
  </si>
  <si>
    <t>dummy1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</si>
</sst>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76" formatCode="\'yy/mm"/>
    <numFmt numFmtId="177" formatCode="General&quot;：撤退商品以外&quot;"/>
    <numFmt numFmtId="178" formatCode="General&quot;：使用中-状態継続&quot;"/>
    <numFmt numFmtId="179" formatCode="General&quot;：撤退商品-専用設備&quot;"/>
    <numFmt numFmtId="180" formatCode="General&quot;：使用中-廃棄&quot;"/>
    <numFmt numFmtId="181" formatCode="General&quot;：撤退商品-共有設備&quot;"/>
    <numFmt numFmtId="182" formatCode="General&quot;：使用中-売却&quot;"/>
    <numFmt numFmtId="183" formatCode="General&quot;：未使用(メンテあり)-状態継続&quot;"/>
    <numFmt numFmtId="184" formatCode="General&quot;：未使用(メンテあり)-廃棄&quot;"/>
    <numFmt numFmtId="185" formatCode="General&quot;：未使用(メンテあり)-売却&quot;"/>
    <numFmt numFmtId="186" formatCode="General&quot;：未使用(メンテなし)-稼働再開&quot;"/>
    <numFmt numFmtId="187" formatCode="General&quot;：未使用(メンテなし)-廃棄&quot;"/>
    <numFmt numFmtId="188" formatCode="General&quot;：未使用(メンテなし)-売却&quot;"/>
    <numFmt numFmtId="189" formatCode="General&quot;：未使用(メンテなし)-状態継続&quot;"/>
    <numFmt numFmtId="190" formatCode="yyyy/mm/dd"/>
  </numFmts>
  <fonts count="38">
    <font>
      <sz val="11"/>
      <color theme="1"/>
      <name val="ＭＳ Ｐゴシック"/>
      <family val="2"/>
      <charset val="128"/>
      <scheme val="minor"/>
    </font>
    <font>
      <sz val="9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u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‚l‚r –¾’©"/>
      <family val="3"/>
      <charset val="128"/>
    </font>
    <font>
      <sz val="8"/>
      <name val="Verdana"/>
      <family val="2"/>
    </font>
    <font>
      <sz val="8"/>
      <name val="Arial"/>
      <family val="2"/>
    </font>
    <font>
      <sz val="9"/>
      <name val="ＭＳ Ｐゴシック"/>
      <family val="3"/>
      <charset val="128"/>
    </font>
    <font>
      <sz val="11"/>
      <color indexed="62"/>
      <name val="宋体"/>
      <family val="3"/>
      <charset val="255"/>
    </font>
    <font>
      <sz val="12"/>
      <name val=" "/>
      <family val="1"/>
      <charset val="136"/>
    </font>
    <font>
      <b/>
      <sz val="12"/>
      <name val="ＭＳ Ｐゴシック"/>
      <family val="3"/>
      <charset val="128"/>
    </font>
    <font>
      <sz val="9"/>
      <name val="新細明體"/>
      <family val="1"/>
      <charset val="136"/>
    </font>
    <font>
      <b/>
      <sz val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</font>
    <font>
      <sz val="9"/>
      <name val="MS P ゴシック"/>
      <family val="3"/>
      <charset val="128"/>
    </font>
    <font>
      <b/>
      <sz val="11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name val="MS P ゴシック"/>
      <family val="3"/>
      <charset val="128"/>
    </font>
    <font>
      <b/>
      <sz val="9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4999237037263100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A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1FDF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3743705557422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rgb="FF000000"/>
      </bottom>
      <diagonal/>
    </border>
  </borders>
  <cellStyleXfs count="13">
    <xf numFmtId="0" fontId="0" fillId="0" borderId="0">
      <alignment vertical="center"/>
    </xf>
    <xf numFmtId="0" fontId="4" fillId="0" borderId="0"/>
    <xf numFmtId="38" fontId="4" fillId="0" borderId="0" applyFont="0" applyFill="0" applyBorder="0" applyProtection="0"/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2" fillId="0" borderId="0"/>
    <xf numFmtId="0" fontId="4" fillId="0" borderId="0">
      <alignment vertical="center"/>
    </xf>
    <xf numFmtId="38" fontId="10" fillId="0" borderId="0" applyFont="0" applyFill="0" applyBorder="0" applyProtection="0"/>
    <xf numFmtId="38" fontId="36" fillId="0" borderId="0" applyFont="0" applyFill="0" applyBorder="0" applyProtection="0"/>
    <xf numFmtId="38" fontId="18" fillId="0" borderId="0" applyFont="0" applyFill="0" applyBorder="0" applyProtection="0"/>
    <xf numFmtId="0" fontId="4" fillId="0" borderId="0"/>
    <xf numFmtId="0" fontId="20" fillId="0" borderId="0">
      <alignment vertical="center"/>
    </xf>
  </cellStyleXfs>
  <cellXfs count="173">
    <xf numFmtId="0" fontId="0" fillId="0" borderId="0" xfId="0">
      <alignment vertical="center"/>
    </xf>
    <xf numFmtId="0" fontId="29" fillId="0" borderId="0" xfId="11" applyFont="1" applyAlignment="1">
      <alignment horizontal="left" vertical="center"/>
    </xf>
    <xf numFmtId="0" fontId="10" fillId="0" borderId="1" xfId="3" applyBorder="1">
      <alignment vertical="center"/>
    </xf>
    <xf numFmtId="0" fontId="10" fillId="0" borderId="0" xfId="3">
      <alignment vertical="center"/>
    </xf>
    <xf numFmtId="0" fontId="13" fillId="0" borderId="0" xfId="3" applyFont="1">
      <alignment vertical="center"/>
    </xf>
    <xf numFmtId="0" fontId="10" fillId="0" borderId="1" xfId="3" applyBorder="1" applyAlignment="1">
      <alignment vertical="center" wrapText="1"/>
    </xf>
    <xf numFmtId="38" fontId="0" fillId="0" borderId="1" xfId="8" applyFont="1" applyBorder="1" applyAlignment="1">
      <alignment vertical="center" wrapText="1"/>
    </xf>
    <xf numFmtId="14" fontId="10" fillId="0" borderId="1" xfId="3" applyNumberFormat="1" applyBorder="1" applyAlignment="1">
      <alignment vertical="center" wrapText="1"/>
    </xf>
    <xf numFmtId="0" fontId="10" fillId="2" borderId="1" xfId="3" applyFill="1" applyBorder="1" applyAlignment="1">
      <alignment vertical="center" wrapText="1"/>
    </xf>
    <xf numFmtId="38" fontId="10" fillId="2" borderId="1" xfId="8" applyFont="1" applyFill="1" applyBorder="1" applyAlignment="1">
      <alignment vertical="center" wrapText="1"/>
    </xf>
    <xf numFmtId="14" fontId="10" fillId="2" borderId="1" xfId="3" applyNumberFormat="1" applyFill="1" applyBorder="1" applyAlignment="1">
      <alignment vertical="center" wrapText="1"/>
    </xf>
    <xf numFmtId="0" fontId="10" fillId="2" borderId="1" xfId="3" applyFill="1" applyBorder="1">
      <alignment vertical="center"/>
    </xf>
    <xf numFmtId="0" fontId="16" fillId="3" borderId="1" xfId="3" applyFont="1" applyFill="1" applyBorder="1" applyAlignment="1">
      <alignment horizontal="center" vertical="center"/>
    </xf>
    <xf numFmtId="0" fontId="16" fillId="3" borderId="1" xfId="3" applyFont="1" applyFill="1" applyBorder="1" applyAlignment="1">
      <alignment horizontal="center" vertical="center" wrapText="1"/>
    </xf>
    <xf numFmtId="0" fontId="10" fillId="0" borderId="0" xfId="7" applyFont="1">
      <alignment vertical="center"/>
    </xf>
    <xf numFmtId="0" fontId="18" fillId="0" borderId="0" xfId="1" applyFont="1" applyAlignment="1">
      <alignment vertical="center"/>
    </xf>
    <xf numFmtId="0" fontId="10" fillId="4" borderId="2" xfId="7" applyFont="1" applyFill="1" applyBorder="1">
      <alignment vertical="center"/>
    </xf>
    <xf numFmtId="0" fontId="10" fillId="4" borderId="3" xfId="7" applyFont="1" applyFill="1" applyBorder="1" applyAlignment="1">
      <alignment vertical="center" wrapText="1"/>
    </xf>
    <xf numFmtId="0" fontId="10" fillId="4" borderId="4" xfId="7" applyFont="1" applyFill="1" applyBorder="1" applyAlignment="1">
      <alignment vertical="center" wrapText="1"/>
    </xf>
    <xf numFmtId="0" fontId="10" fillId="4" borderId="2" xfId="7" applyFont="1" applyFill="1" applyBorder="1" applyAlignment="1">
      <alignment vertical="center" wrapText="1"/>
    </xf>
    <xf numFmtId="0" fontId="10" fillId="4" borderId="5" xfId="7" applyFont="1" applyFill="1" applyBorder="1" applyAlignment="1">
      <alignment vertical="center" wrapText="1"/>
    </xf>
    <xf numFmtId="0" fontId="10" fillId="4" borderId="6" xfId="7" applyFont="1" applyFill="1" applyBorder="1" applyAlignment="1">
      <alignment vertical="center" wrapText="1"/>
    </xf>
    <xf numFmtId="0" fontId="10" fillId="0" borderId="7" xfId="7" applyFont="1" applyBorder="1">
      <alignment vertical="center"/>
    </xf>
    <xf numFmtId="0" fontId="10" fillId="0" borderId="8" xfId="7" applyFont="1" applyBorder="1">
      <alignment vertical="center"/>
    </xf>
    <xf numFmtId="0" fontId="10" fillId="0" borderId="9" xfId="7" applyFont="1" applyBorder="1">
      <alignment vertical="center"/>
    </xf>
    <xf numFmtId="0" fontId="10" fillId="5" borderId="7" xfId="7" applyFont="1" applyFill="1" applyBorder="1">
      <alignment vertical="center"/>
    </xf>
    <xf numFmtId="0" fontId="10" fillId="0" borderId="10" xfId="7" applyFont="1" applyBorder="1">
      <alignment vertical="center"/>
    </xf>
    <xf numFmtId="0" fontId="10" fillId="0" borderId="11" xfId="7" applyFont="1" applyBorder="1">
      <alignment vertical="center"/>
    </xf>
    <xf numFmtId="0" fontId="10" fillId="5" borderId="11" xfId="7" applyFont="1" applyFill="1" applyBorder="1">
      <alignment vertical="center"/>
    </xf>
    <xf numFmtId="0" fontId="10" fillId="0" borderId="12" xfId="7" applyFont="1" applyBorder="1">
      <alignment vertical="center"/>
    </xf>
    <xf numFmtId="0" fontId="10" fillId="6" borderId="13" xfId="7" applyFont="1" applyFill="1" applyBorder="1">
      <alignment vertical="center"/>
    </xf>
    <xf numFmtId="0" fontId="10" fillId="0" borderId="9" xfId="7" applyFont="1" applyBorder="1" applyAlignment="1">
      <alignment horizontal="left" vertical="center"/>
    </xf>
    <xf numFmtId="0" fontId="26" fillId="0" borderId="0" xfId="1" applyFont="1" applyAlignment="1" applyProtection="1">
      <alignment vertical="center"/>
      <protection locked="0"/>
    </xf>
    <xf numFmtId="0" fontId="18" fillId="0" borderId="0" xfId="1" applyFont="1" applyAlignment="1" applyProtection="1">
      <alignment vertical="center"/>
      <protection locked="0"/>
    </xf>
    <xf numFmtId="38" fontId="18" fillId="0" borderId="0" xfId="2" applyFont="1" applyAlignment="1" applyProtection="1">
      <alignment vertical="center"/>
      <protection locked="0"/>
    </xf>
    <xf numFmtId="0" fontId="10" fillId="7" borderId="14" xfId="6" applyFont="1" applyFill="1" applyBorder="1" applyAlignment="1" applyProtection="1">
      <alignment vertical="center"/>
      <protection locked="0"/>
    </xf>
    <xf numFmtId="0" fontId="10" fillId="7" borderId="15" xfId="6" applyFont="1" applyFill="1" applyBorder="1" applyAlignment="1" applyProtection="1">
      <alignment vertical="center"/>
      <protection locked="0"/>
    </xf>
    <xf numFmtId="0" fontId="10" fillId="7" borderId="15" xfId="6" applyFont="1" applyFill="1" applyBorder="1" applyAlignment="1">
      <alignment vertical="center"/>
    </xf>
    <xf numFmtId="0" fontId="10" fillId="7" borderId="16" xfId="6" applyFont="1" applyFill="1" applyBorder="1" applyAlignment="1" applyProtection="1">
      <alignment vertical="center"/>
      <protection locked="0"/>
    </xf>
    <xf numFmtId="0" fontId="10" fillId="8" borderId="17" xfId="6" applyFont="1" applyFill="1" applyBorder="1" applyAlignment="1" applyProtection="1">
      <alignment vertical="top" wrapText="1"/>
      <protection locked="0"/>
    </xf>
    <xf numFmtId="0" fontId="10" fillId="0" borderId="0" xfId="4" applyFont="1" applyAlignment="1" applyProtection="1">
      <alignment vertical="top"/>
      <protection locked="0"/>
    </xf>
    <xf numFmtId="0" fontId="0" fillId="6" borderId="0" xfId="0" applyFill="1">
      <alignment vertical="center"/>
    </xf>
    <xf numFmtId="0" fontId="18" fillId="0" borderId="0" xfId="0" applyFont="1">
      <alignment vertical="center"/>
    </xf>
    <xf numFmtId="0" fontId="13" fillId="0" borderId="0" xfId="7" applyFont="1">
      <alignment vertical="center"/>
    </xf>
    <xf numFmtId="0" fontId="0" fillId="0" borderId="0" xfId="7" applyFont="1">
      <alignment vertical="center"/>
    </xf>
    <xf numFmtId="0" fontId="28" fillId="0" borderId="0" xfId="7" applyFont="1">
      <alignment vertical="center"/>
    </xf>
    <xf numFmtId="0" fontId="10" fillId="8" borderId="1" xfId="6" applyFont="1" applyFill="1" applyBorder="1" applyAlignment="1" applyProtection="1">
      <alignment vertical="top"/>
      <protection locked="0"/>
    </xf>
    <xf numFmtId="0" fontId="10" fillId="9" borderId="1" xfId="3" applyFill="1" applyBorder="1" applyAlignment="1" applyProtection="1">
      <alignment vertical="top" wrapText="1"/>
      <protection locked="0"/>
    </xf>
    <xf numFmtId="0" fontId="18" fillId="10" borderId="1" xfId="0" applyFont="1" applyFill="1" applyBorder="1">
      <alignment vertical="center"/>
    </xf>
    <xf numFmtId="0" fontId="29" fillId="0" borderId="0" xfId="11" applyFont="1" applyAlignment="1">
      <alignment vertical="center"/>
    </xf>
    <xf numFmtId="0" fontId="29" fillId="0" borderId="0" xfId="11" applyFont="1" applyAlignment="1">
      <alignment horizontal="center" vertical="center"/>
    </xf>
    <xf numFmtId="0" fontId="29" fillId="0" borderId="1" xfId="11" applyFont="1" applyBorder="1" applyAlignment="1">
      <alignment horizontal="center" vertical="center"/>
    </xf>
    <xf numFmtId="0" fontId="29" fillId="0" borderId="17" xfId="11" applyFont="1" applyBorder="1" applyAlignment="1">
      <alignment vertical="center"/>
    </xf>
    <xf numFmtId="0" fontId="29" fillId="0" borderId="18" xfId="11" applyFont="1" applyBorder="1" applyAlignment="1">
      <alignment vertical="center"/>
    </xf>
    <xf numFmtId="0" fontId="29" fillId="10" borderId="1" xfId="11" applyFont="1" applyFill="1" applyBorder="1" applyAlignment="1">
      <alignment vertical="center"/>
    </xf>
    <xf numFmtId="0" fontId="29" fillId="0" borderId="1" xfId="11" applyFont="1" applyBorder="1" applyAlignment="1">
      <alignment vertical="center"/>
    </xf>
    <xf numFmtId="38" fontId="29" fillId="0" borderId="1" xfId="10" applyFont="1" applyBorder="1" applyAlignment="1">
      <alignment vertical="center"/>
    </xf>
    <xf numFmtId="0" fontId="29" fillId="0" borderId="19" xfId="11" applyFont="1" applyBorder="1" applyAlignment="1">
      <alignment vertical="center"/>
    </xf>
    <xf numFmtId="0" fontId="29" fillId="0" borderId="15" xfId="11" applyFont="1" applyBorder="1" applyAlignment="1">
      <alignment vertical="center"/>
    </xf>
    <xf numFmtId="38" fontId="29" fillId="0" borderId="17" xfId="10" applyFont="1" applyBorder="1" applyAlignment="1">
      <alignment vertical="center"/>
    </xf>
    <xf numFmtId="0" fontId="29" fillId="0" borderId="20" xfId="11" applyFont="1" applyBorder="1" applyAlignment="1">
      <alignment vertical="center"/>
    </xf>
    <xf numFmtId="38" fontId="29" fillId="0" borderId="20" xfId="10" applyFont="1" applyBorder="1" applyAlignment="1">
      <alignment vertical="center"/>
    </xf>
    <xf numFmtId="0" fontId="32" fillId="0" borderId="0" xfId="11" applyFont="1" applyAlignment="1">
      <alignment horizontal="center" vertical="center"/>
    </xf>
    <xf numFmtId="0" fontId="29" fillId="0" borderId="0" xfId="11" applyFont="1" applyAlignment="1">
      <alignment horizontal="right" vertical="center"/>
    </xf>
    <xf numFmtId="0" fontId="29" fillId="10" borderId="16" xfId="11" applyFont="1" applyFill="1" applyBorder="1" applyAlignment="1">
      <alignment vertical="center"/>
    </xf>
    <xf numFmtId="0" fontId="29" fillId="10" borderId="17" xfId="11" applyFont="1" applyFill="1" applyBorder="1" applyAlignment="1">
      <alignment horizontal="left" vertical="top"/>
    </xf>
    <xf numFmtId="0" fontId="29" fillId="10" borderId="17" xfId="11" applyFont="1" applyFill="1" applyBorder="1" applyAlignment="1">
      <alignment horizontal="left" vertical="top" wrapText="1"/>
    </xf>
    <xf numFmtId="0" fontId="29" fillId="10" borderId="19" xfId="11" applyFont="1" applyFill="1" applyBorder="1" applyAlignment="1">
      <alignment horizontal="left" vertical="top"/>
    </xf>
    <xf numFmtId="38" fontId="29" fillId="10" borderId="19" xfId="8" applyFont="1" applyFill="1" applyBorder="1" applyAlignment="1">
      <alignment horizontal="left" vertical="top"/>
    </xf>
    <xf numFmtId="0" fontId="0" fillId="10" borderId="1" xfId="11" applyFont="1" applyFill="1" applyBorder="1" applyAlignment="1">
      <alignment horizontal="left" vertical="top" wrapText="1"/>
    </xf>
    <xf numFmtId="38" fontId="0" fillId="0" borderId="1" xfId="10" applyFont="1" applyBorder="1" applyAlignment="1">
      <alignment horizontal="right" vertical="top" wrapText="1"/>
    </xf>
    <xf numFmtId="38" fontId="0" fillId="0" borderId="20" xfId="10" applyFont="1" applyBorder="1" applyAlignment="1">
      <alignment horizontal="right" vertical="top" wrapText="1"/>
    </xf>
    <xf numFmtId="0" fontId="0" fillId="0" borderId="0" xfId="11" applyFont="1" applyAlignment="1">
      <alignment vertical="center"/>
    </xf>
    <xf numFmtId="0" fontId="33" fillId="0" borderId="0" xfId="11" applyFont="1" applyAlignment="1">
      <alignment horizontal="center" vertical="center"/>
    </xf>
    <xf numFmtId="38" fontId="0" fillId="0" borderId="1" xfId="10" applyFont="1" applyFill="1" applyBorder="1" applyAlignment="1">
      <alignment vertical="center"/>
    </xf>
    <xf numFmtId="38" fontId="0" fillId="0" borderId="17" xfId="10" applyFont="1" applyFill="1" applyBorder="1" applyAlignment="1">
      <alignment vertical="center"/>
    </xf>
    <xf numFmtId="38" fontId="0" fillId="0" borderId="20" xfId="10" applyFont="1" applyFill="1" applyBorder="1" applyAlignment="1">
      <alignment vertical="center"/>
    </xf>
    <xf numFmtId="0" fontId="10" fillId="9" borderId="1" xfId="6" applyFont="1" applyFill="1" applyBorder="1" applyAlignment="1" applyProtection="1">
      <alignment horizontal="left" vertical="top"/>
      <protection locked="0"/>
    </xf>
    <xf numFmtId="0" fontId="18" fillId="9" borderId="1" xfId="6" applyFont="1" applyFill="1" applyBorder="1" applyAlignment="1" applyProtection="1">
      <alignment horizontal="left" vertical="top" wrapText="1"/>
      <protection locked="0"/>
    </xf>
    <xf numFmtId="177" fontId="18" fillId="0" borderId="0" xfId="0" applyNumberFormat="1" applyFont="1" applyAlignment="1">
      <alignment horizontal="left" vertical="center"/>
    </xf>
    <xf numFmtId="179" fontId="18" fillId="0" borderId="0" xfId="0" applyNumberFormat="1" applyFont="1" applyAlignment="1">
      <alignment horizontal="left" vertical="center"/>
    </xf>
    <xf numFmtId="181" fontId="18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8" fontId="18" fillId="0" borderId="0" xfId="0" applyNumberFormat="1" applyFont="1" applyAlignment="1">
      <alignment horizontal="left" vertical="center"/>
    </xf>
    <xf numFmtId="180" fontId="18" fillId="0" borderId="0" xfId="0" applyNumberFormat="1" applyFont="1" applyAlignment="1">
      <alignment horizontal="left" vertical="center"/>
    </xf>
    <xf numFmtId="182" fontId="18" fillId="0" borderId="0" xfId="0" applyNumberFormat="1" applyFont="1" applyAlignment="1">
      <alignment horizontal="left" vertical="center"/>
    </xf>
    <xf numFmtId="183" fontId="18" fillId="0" borderId="0" xfId="0" applyNumberFormat="1" applyFont="1" applyAlignment="1">
      <alignment horizontal="left" vertical="center"/>
    </xf>
    <xf numFmtId="184" fontId="18" fillId="0" borderId="0" xfId="0" applyNumberFormat="1" applyFont="1" applyAlignment="1">
      <alignment horizontal="left" vertical="center"/>
    </xf>
    <xf numFmtId="185" fontId="18" fillId="0" borderId="0" xfId="0" applyNumberFormat="1" applyFont="1" applyAlignment="1">
      <alignment horizontal="left" vertical="center"/>
    </xf>
    <xf numFmtId="186" fontId="18" fillId="0" borderId="0" xfId="0" applyNumberFormat="1" applyFont="1" applyAlignment="1">
      <alignment horizontal="left" vertical="center"/>
    </xf>
    <xf numFmtId="187" fontId="18" fillId="0" borderId="0" xfId="0" applyNumberFormat="1" applyFont="1" applyAlignment="1">
      <alignment horizontal="left" vertical="center"/>
    </xf>
    <xf numFmtId="188" fontId="18" fillId="0" borderId="0" xfId="0" applyNumberFormat="1" applyFont="1" applyAlignment="1">
      <alignment horizontal="left" vertical="center"/>
    </xf>
    <xf numFmtId="189" fontId="18" fillId="0" borderId="0" xfId="0" applyNumberFormat="1" applyFont="1" applyAlignment="1">
      <alignment horizontal="left" vertical="center"/>
    </xf>
    <xf numFmtId="0" fontId="10" fillId="8" borderId="1" xfId="6" applyFont="1" applyFill="1" applyBorder="1" applyAlignment="1" applyProtection="1">
      <alignment vertical="top" wrapText="1"/>
      <protection locked="0"/>
    </xf>
    <xf numFmtId="49" fontId="10" fillId="8" borderId="1" xfId="6" applyNumberFormat="1" applyFont="1" applyFill="1" applyBorder="1" applyAlignment="1" applyProtection="1">
      <alignment vertical="top"/>
      <protection locked="0"/>
    </xf>
    <xf numFmtId="38" fontId="10" fillId="8" borderId="1" xfId="2" applyFont="1" applyFill="1" applyBorder="1" applyAlignment="1" applyProtection="1">
      <alignment vertical="top" wrapText="1"/>
      <protection locked="0"/>
    </xf>
    <xf numFmtId="38" fontId="10" fillId="8" borderId="1" xfId="9" applyFont="1" applyFill="1" applyBorder="1" applyAlignment="1" applyProtection="1">
      <alignment vertical="top"/>
      <protection locked="0"/>
    </xf>
    <xf numFmtId="38" fontId="10" fillId="8" borderId="1" xfId="9" applyFont="1" applyFill="1" applyBorder="1" applyAlignment="1" applyProtection="1">
      <alignment vertical="top" wrapText="1"/>
      <protection locked="0"/>
    </xf>
    <xf numFmtId="0" fontId="10" fillId="11" borderId="1" xfId="6" applyFont="1" applyFill="1" applyBorder="1" applyAlignment="1" applyProtection="1">
      <alignment vertical="top"/>
      <protection locked="0"/>
    </xf>
    <xf numFmtId="38" fontId="10" fillId="9" borderId="1" xfId="9" applyFont="1" applyFill="1" applyBorder="1" applyAlignment="1" applyProtection="1">
      <alignment vertical="top"/>
      <protection locked="0"/>
    </xf>
    <xf numFmtId="49" fontId="17" fillId="12" borderId="17" xfId="1" applyNumberFormat="1" applyFont="1" applyFill="1" applyBorder="1" applyAlignment="1" applyProtection="1">
      <alignment horizontal="left"/>
      <protection locked="0"/>
    </xf>
    <xf numFmtId="0" fontId="18" fillId="7" borderId="17" xfId="1" applyFont="1" applyFill="1" applyBorder="1" applyAlignment="1" applyProtection="1">
      <alignment vertical="center"/>
      <protection locked="0"/>
    </xf>
    <xf numFmtId="0" fontId="18" fillId="13" borderId="17" xfId="1" applyFont="1" applyFill="1" applyBorder="1" applyAlignment="1">
      <alignment vertical="center"/>
    </xf>
    <xf numFmtId="0" fontId="18" fillId="2" borderId="17" xfId="1" applyFont="1" applyFill="1" applyBorder="1" applyAlignment="1">
      <alignment vertical="center"/>
    </xf>
    <xf numFmtId="0" fontId="18" fillId="2" borderId="17" xfId="12" applyFont="1" applyFill="1" applyBorder="1">
      <alignment vertical="center"/>
    </xf>
    <xf numFmtId="0" fontId="18" fillId="7" borderId="14" xfId="1" applyFont="1" applyFill="1" applyBorder="1" applyAlignment="1" applyProtection="1">
      <alignment vertical="center"/>
      <protection locked="0"/>
    </xf>
    <xf numFmtId="0" fontId="10" fillId="9" borderId="1" xfId="6" applyFont="1" applyFill="1" applyBorder="1" applyAlignment="1" applyProtection="1">
      <alignment vertical="top"/>
      <protection locked="0"/>
    </xf>
    <xf numFmtId="0" fontId="10" fillId="13" borderId="1" xfId="6" applyFont="1" applyFill="1" applyBorder="1" applyAlignment="1">
      <alignment vertical="top"/>
    </xf>
    <xf numFmtId="0" fontId="10" fillId="2" borderId="1" xfId="6" applyFont="1" applyFill="1" applyBorder="1" applyAlignment="1">
      <alignment vertical="top"/>
    </xf>
    <xf numFmtId="0" fontId="18" fillId="9" borderId="1" xfId="4" applyFont="1" applyFill="1" applyBorder="1" applyAlignment="1" applyProtection="1">
      <alignment vertical="top" wrapText="1"/>
      <protection locked="0"/>
    </xf>
    <xf numFmtId="0" fontId="10" fillId="9" borderId="1" xfId="4" applyFont="1" applyFill="1" applyBorder="1" applyAlignment="1" applyProtection="1">
      <alignment vertical="top"/>
      <protection locked="0"/>
    </xf>
    <xf numFmtId="0" fontId="10" fillId="9" borderId="1" xfId="4" applyFont="1" applyFill="1" applyBorder="1" applyAlignment="1" applyProtection="1">
      <alignment vertical="top" wrapText="1"/>
      <protection locked="0"/>
    </xf>
    <xf numFmtId="190" fontId="18" fillId="0" borderId="0" xfId="1" applyNumberFormat="1" applyFont="1" applyAlignment="1" applyProtection="1">
      <alignment vertical="center"/>
      <protection locked="0"/>
    </xf>
    <xf numFmtId="190" fontId="10" fillId="8" borderId="1" xfId="6" applyNumberFormat="1" applyFont="1" applyFill="1" applyBorder="1" applyAlignment="1" applyProtection="1">
      <alignment vertical="top" wrapText="1"/>
      <protection locked="0"/>
    </xf>
    <xf numFmtId="190" fontId="17" fillId="12" borderId="17" xfId="1" applyNumberFormat="1" applyFont="1" applyFill="1" applyBorder="1" applyAlignment="1" applyProtection="1">
      <alignment horizontal="left"/>
      <protection locked="0"/>
    </xf>
    <xf numFmtId="190" fontId="10" fillId="8" borderId="1" xfId="2" applyNumberFormat="1" applyFont="1" applyFill="1" applyBorder="1" applyAlignment="1" applyProtection="1">
      <alignment vertical="top" wrapText="1"/>
      <protection locked="0"/>
    </xf>
    <xf numFmtId="38" fontId="18" fillId="0" borderId="0" xfId="1" applyNumberFormat="1" applyFont="1" applyAlignment="1" applyProtection="1">
      <alignment horizontal="right" vertical="center"/>
      <protection locked="0"/>
    </xf>
    <xf numFmtId="38" fontId="27" fillId="8" borderId="1" xfId="2" applyFont="1" applyFill="1" applyBorder="1" applyAlignment="1" applyProtection="1">
      <alignment horizontal="left" vertical="top" wrapText="1"/>
      <protection locked="0"/>
    </xf>
    <xf numFmtId="0" fontId="10" fillId="8" borderId="1" xfId="6" applyFont="1" applyFill="1" applyBorder="1" applyAlignment="1" applyProtection="1">
      <alignment horizontal="left" vertical="top"/>
      <protection locked="0"/>
    </xf>
    <xf numFmtId="0" fontId="10" fillId="7" borderId="1" xfId="6" applyFont="1" applyFill="1" applyBorder="1" applyAlignment="1" applyProtection="1">
      <alignment horizontal="left" vertical="top"/>
      <protection locked="0"/>
    </xf>
    <xf numFmtId="0" fontId="10" fillId="6" borderId="21" xfId="7" applyFont="1" applyFill="1" applyBorder="1" applyAlignment="1">
      <alignment horizontal="right" vertical="center"/>
    </xf>
    <xf numFmtId="0" fontId="10" fillId="0" borderId="22" xfId="7" applyFont="1" applyBorder="1">
      <alignment vertical="center"/>
    </xf>
    <xf numFmtId="0" fontId="10" fillId="6" borderId="23" xfId="7" applyFont="1" applyFill="1" applyBorder="1">
      <alignment vertical="center"/>
    </xf>
    <xf numFmtId="0" fontId="10" fillId="6" borderId="15" xfId="7" applyFont="1" applyFill="1" applyBorder="1" applyAlignment="1">
      <alignment horizontal="right" vertical="center"/>
    </xf>
    <xf numFmtId="0" fontId="10" fillId="0" borderId="12" xfId="7" applyFont="1" applyBorder="1" applyAlignment="1">
      <alignment horizontal="left" vertical="center"/>
    </xf>
    <xf numFmtId="0" fontId="10" fillId="6" borderId="24" xfId="7" applyFont="1" applyFill="1" applyBorder="1">
      <alignment vertical="center"/>
    </xf>
    <xf numFmtId="0" fontId="10" fillId="0" borderId="25" xfId="7" applyFont="1" applyBorder="1">
      <alignment vertical="center"/>
    </xf>
    <xf numFmtId="0" fontId="10" fillId="6" borderId="26" xfId="7" applyFont="1" applyFill="1" applyBorder="1" applyAlignment="1">
      <alignment horizontal="right" vertical="center"/>
    </xf>
    <xf numFmtId="0" fontId="10" fillId="0" borderId="25" xfId="7" applyFont="1" applyBorder="1" applyAlignment="1">
      <alignment horizontal="left" vertical="center"/>
    </xf>
    <xf numFmtId="0" fontId="10" fillId="0" borderId="27" xfId="7" applyFont="1" applyBorder="1">
      <alignment vertical="center"/>
    </xf>
    <xf numFmtId="0" fontId="18" fillId="0" borderId="15" xfId="0" applyFont="1" applyBorder="1">
      <alignment vertical="center"/>
    </xf>
    <xf numFmtId="49" fontId="17" fillId="12" borderId="16" xfId="0" applyNumberFormat="1" applyFont="1" applyFill="1" applyBorder="1" applyAlignment="1" applyProtection="1">
      <alignment horizontal="left"/>
      <protection locked="0"/>
    </xf>
    <xf numFmtId="0" fontId="15" fillId="8" borderId="28" xfId="6" applyFont="1" applyFill="1" applyBorder="1" applyAlignment="1" applyProtection="1">
      <alignment vertical="top"/>
      <protection locked="0"/>
    </xf>
    <xf numFmtId="0" fontId="15" fillId="8" borderId="19" xfId="6" applyFont="1" applyFill="1" applyBorder="1" applyAlignment="1" applyProtection="1">
      <alignment vertical="top" wrapText="1"/>
      <protection locked="0"/>
    </xf>
    <xf numFmtId="0" fontId="35" fillId="8" borderId="19" xfId="6" applyFont="1" applyFill="1" applyBorder="1" applyAlignment="1" applyProtection="1">
      <alignment vertical="top" wrapText="1"/>
      <protection locked="0"/>
    </xf>
    <xf numFmtId="49" fontId="15" fillId="8" borderId="19" xfId="6" applyNumberFormat="1" applyFont="1" applyFill="1" applyBorder="1" applyAlignment="1" applyProtection="1">
      <alignment vertical="top"/>
      <protection locked="0"/>
    </xf>
    <xf numFmtId="0" fontId="15" fillId="8" borderId="19" xfId="6" applyFont="1" applyFill="1" applyBorder="1" applyAlignment="1" applyProtection="1">
      <alignment vertical="top"/>
      <protection locked="0"/>
    </xf>
    <xf numFmtId="190" fontId="15" fillId="8" borderId="19" xfId="6" applyNumberFormat="1" applyFont="1" applyFill="1" applyBorder="1" applyAlignment="1" applyProtection="1">
      <alignment vertical="top" wrapText="1"/>
      <protection locked="0"/>
    </xf>
    <xf numFmtId="38" fontId="15" fillId="8" borderId="19" xfId="2" applyFont="1" applyFill="1" applyBorder="1" applyAlignment="1" applyProtection="1">
      <alignment vertical="top" wrapText="1"/>
      <protection locked="0"/>
    </xf>
    <xf numFmtId="38" fontId="15" fillId="8" borderId="19" xfId="9" applyFont="1" applyFill="1" applyBorder="1" applyAlignment="1" applyProtection="1">
      <alignment vertical="top"/>
      <protection locked="0"/>
    </xf>
    <xf numFmtId="38" fontId="15" fillId="8" borderId="19" xfId="9" applyFont="1" applyFill="1" applyBorder="1" applyAlignment="1" applyProtection="1">
      <alignment vertical="top" wrapText="1"/>
      <protection locked="0"/>
    </xf>
    <xf numFmtId="38" fontId="35" fillId="8" borderId="19" xfId="2" applyFont="1" applyFill="1" applyBorder="1" applyAlignment="1" applyProtection="1">
      <alignment horizontal="left" vertical="top" wrapText="1"/>
      <protection locked="0"/>
    </xf>
    <xf numFmtId="190" fontId="15" fillId="8" borderId="19" xfId="2" applyNumberFormat="1" applyFont="1" applyFill="1" applyBorder="1" applyAlignment="1" applyProtection="1">
      <alignment vertical="top" wrapText="1"/>
      <protection locked="0"/>
    </xf>
    <xf numFmtId="0" fontId="15" fillId="8" borderId="19" xfId="5" applyFont="1" applyFill="1" applyBorder="1" applyAlignment="1" applyProtection="1">
      <alignment vertical="top" wrapText="1"/>
      <protection locked="0"/>
    </xf>
    <xf numFmtId="0" fontId="15" fillId="11" borderId="19" xfId="6" applyFont="1" applyFill="1" applyBorder="1" applyAlignment="1" applyProtection="1">
      <alignment vertical="top"/>
      <protection locked="0"/>
    </xf>
    <xf numFmtId="0" fontId="26" fillId="9" borderId="19" xfId="6" applyFont="1" applyFill="1" applyBorder="1" applyAlignment="1" applyProtection="1">
      <alignment vertical="top" wrapText="1"/>
      <protection locked="0"/>
    </xf>
    <xf numFmtId="0" fontId="26" fillId="13" borderId="19" xfId="6" applyFont="1" applyFill="1" applyBorder="1" applyAlignment="1">
      <alignment vertical="top" wrapText="1"/>
    </xf>
    <xf numFmtId="0" fontId="26" fillId="13" borderId="19" xfId="0" applyFont="1" applyFill="1" applyBorder="1" applyAlignment="1">
      <alignment vertical="top"/>
    </xf>
    <xf numFmtId="0" fontId="15" fillId="9" borderId="19" xfId="6" applyFont="1" applyFill="1" applyBorder="1" applyAlignment="1" applyProtection="1">
      <alignment vertical="top" wrapText="1"/>
      <protection locked="0"/>
    </xf>
    <xf numFmtId="0" fontId="15" fillId="2" borderId="19" xfId="5" applyFont="1" applyFill="1" applyBorder="1" applyAlignment="1">
      <alignment vertical="top" wrapText="1"/>
    </xf>
    <xf numFmtId="0" fontId="15" fillId="7" borderId="19" xfId="5" applyFont="1" applyFill="1" applyBorder="1" applyAlignment="1" applyProtection="1">
      <alignment vertical="top" wrapText="1"/>
      <protection locked="0"/>
    </xf>
    <xf numFmtId="0" fontId="15" fillId="9" borderId="19" xfId="3" applyFont="1" applyFill="1" applyBorder="1" applyAlignment="1" applyProtection="1">
      <alignment vertical="top" wrapText="1"/>
      <protection locked="0"/>
    </xf>
    <xf numFmtId="176" fontId="15" fillId="9" borderId="19" xfId="4" applyNumberFormat="1" applyFont="1" applyFill="1" applyBorder="1" applyAlignment="1" applyProtection="1">
      <alignment vertical="top" wrapText="1"/>
      <protection locked="0"/>
    </xf>
    <xf numFmtId="38" fontId="15" fillId="9" borderId="19" xfId="9" applyFont="1" applyFill="1" applyBorder="1" applyAlignment="1" applyProtection="1">
      <alignment vertical="top"/>
      <protection locked="0"/>
    </xf>
    <xf numFmtId="0" fontId="26" fillId="9" borderId="19" xfId="0" applyFont="1" applyFill="1" applyBorder="1" applyAlignment="1" applyProtection="1">
      <alignment vertical="top"/>
      <protection locked="0"/>
    </xf>
    <xf numFmtId="0" fontId="26" fillId="9" borderId="29" xfId="0" applyFont="1" applyFill="1" applyBorder="1" applyAlignment="1" applyProtection="1">
      <alignment vertical="top"/>
      <protection locked="0"/>
    </xf>
    <xf numFmtId="49" fontId="17" fillId="12" borderId="1" xfId="0" applyNumberFormat="1" applyFont="1" applyFill="1" applyBorder="1" applyAlignment="1" applyProtection="1">
      <alignment horizontal="left"/>
      <protection locked="0"/>
    </xf>
    <xf numFmtId="190" fontId="17" fillId="12" borderId="1" xfId="0" applyNumberFormat="1" applyFont="1" applyFill="1" applyBorder="1" applyAlignment="1" applyProtection="1">
      <alignment horizontal="left"/>
      <protection locked="0"/>
    </xf>
    <xf numFmtId="0" fontId="17" fillId="12" borderId="1" xfId="0" applyFont="1" applyFill="1" applyBorder="1" applyAlignment="1" applyProtection="1">
      <alignment horizontal="left"/>
      <protection locked="0"/>
    </xf>
    <xf numFmtId="38" fontId="17" fillId="12" borderId="1" xfId="0" applyNumberFormat="1" applyFont="1" applyFill="1" applyBorder="1" applyAlignment="1" applyProtection="1">
      <alignment horizontal="right"/>
      <protection locked="0"/>
    </xf>
    <xf numFmtId="37" fontId="17" fillId="12" borderId="1" xfId="0" applyNumberFormat="1" applyFont="1" applyFill="1" applyBorder="1" applyAlignment="1" applyProtection="1">
      <alignment horizontal="right"/>
      <protection locked="0"/>
    </xf>
    <xf numFmtId="49" fontId="17" fillId="12" borderId="1" xfId="0" applyNumberFormat="1" applyFont="1" applyFill="1" applyBorder="1" applyAlignment="1" applyProtection="1">
      <alignment horizontal="right"/>
      <protection locked="0"/>
    </xf>
    <xf numFmtId="0" fontId="34" fillId="0" borderId="1" xfId="0" applyFont="1" applyBorder="1" applyProtection="1">
      <alignment vertical="center"/>
      <protection locked="0"/>
    </xf>
    <xf numFmtId="0" fontId="17" fillId="12" borderId="1" xfId="0" applyFont="1" applyFill="1" applyBorder="1" applyAlignment="1" applyProtection="1">
      <alignment horizontal="right"/>
      <protection locked="0"/>
    </xf>
    <xf numFmtId="38" fontId="10" fillId="11" borderId="30" xfId="2" applyFont="1" applyFill="1" applyBorder="1" applyAlignment="1" applyProtection="1">
      <alignment vertical="center"/>
      <protection locked="0"/>
    </xf>
    <xf numFmtId="0" fontId="31" fillId="0" borderId="15" xfId="11" applyFont="1" applyBorder="1" applyAlignment="1">
      <alignment horizontal="center" vertical="center"/>
    </xf>
    <xf numFmtId="0" fontId="30" fillId="0" borderId="0" xfId="11" applyFont="1" applyAlignment="1">
      <alignment horizontal="left" vertical="center"/>
    </xf>
    <xf numFmtId="0" fontId="29" fillId="0" borderId="0" xfId="11" applyFont="1" applyAlignment="1">
      <alignment horizontal="left" vertical="center"/>
    </xf>
    <xf numFmtId="0" fontId="31" fillId="0" borderId="15" xfId="11" applyFont="1" applyBorder="1" applyAlignment="1">
      <alignment horizontal="left" vertical="center"/>
    </xf>
    <xf numFmtId="0" fontId="29" fillId="10" borderId="31" xfId="11" applyFont="1" applyFill="1" applyBorder="1" applyAlignment="1">
      <alignment horizontal="center" vertical="top"/>
    </xf>
    <xf numFmtId="0" fontId="29" fillId="10" borderId="32" xfId="11" applyFont="1" applyFill="1" applyBorder="1" applyAlignment="1">
      <alignment vertical="center"/>
    </xf>
    <xf numFmtId="0" fontId="27" fillId="7" borderId="18" xfId="1" applyFont="1" applyFill="1" applyBorder="1" applyAlignment="1" applyProtection="1">
      <alignment vertical="center"/>
      <protection locked="0" hidden="1"/>
    </xf>
    <xf numFmtId="0" fontId="27" fillId="9" borderId="19" xfId="4" applyFont="1" applyFill="1" applyBorder="1" applyAlignment="1" applyProtection="1">
      <alignment vertical="top"/>
      <protection locked="0" hidden="1"/>
    </xf>
  </cellXfs>
  <cellStyles count="13">
    <cellStyle name="桁区切り" xfId="9" builtinId="6"/>
    <cellStyle name="桁区切り 2" xfId="2"/>
    <cellStyle name="桁区切り 4" xfId="8"/>
    <cellStyle name="桁区切り 7" xfId="10"/>
    <cellStyle name="標準" xfId="0" builtinId="0"/>
    <cellStyle name="標準 2" xfId="1"/>
    <cellStyle name="標準 2 2" xfId="3"/>
    <cellStyle name="標準 2 3 2" xfId="11"/>
    <cellStyle name="標準 2 4" xfId="12"/>
    <cellStyle name="標準 3" xfId="4"/>
    <cellStyle name="標準_090615討議資料" xfId="5"/>
    <cellStyle name="標準_Sheet1" xfId="6"/>
    <cellStyle name="標準_セグメント&amp;小細分類（JTY用）" xfId="7"/>
  </cellStyles>
  <dxfs count="69"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/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theme="0" tint="-0.14996795556505021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theme="0" tint="-0.14993743705557422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0" formatCode="yyyy/mm/dd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0" formatCode="yyyy/mm/dd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1" formatCode="#,##0_);[Red]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2" formatCode="#,##0_);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2" formatCode="#,##0_);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2" formatCode="#,##0_);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1" formatCode="#,##0_);[Red]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0" formatCode="yyyy/mm/dd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/>
        <right style="thin">
          <color auto="1"/>
        </right>
        <top style="thin">
          <color auto="1"/>
        </top>
        <bottom/>
      </border>
      <protection locked="0" hidden="1"/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protection locked="0" hidden="1"/>
    </dxf>
    <dxf>
      <border>
        <bottom style="thin">
          <color auto="1"/>
        </bottom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CFFFF"/>
        </patternFill>
      </fill>
      <alignment horizontal="general" vertical="top" textRotation="0" wrapText="0" shrinkToFit="0" readingOrder="0"/>
      <border>
        <left style="thin">
          <color auto="1"/>
        </left>
        <right style="thin">
          <color auto="1"/>
        </right>
        <top/>
        <bottom/>
      </border>
      <protection locked="0" hidden="1"/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350521</xdr:colOff>
          <xdr:row>0</xdr:row>
          <xdr:rowOff>91440</xdr:rowOff>
        </xdr:from>
        <xdr:to>
          <xdr:col>4</xdr:col>
          <xdr:colOff>125897</xdr:colOff>
          <xdr:row>0</xdr:row>
          <xdr:rowOff>281940</xdr:rowOff>
        </xdr:to>
        <xdr:sp macro="" textlink="">
          <xdr:nvSpPr>
            <xdr:cNvPr id="12310" name="Button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123264</xdr:colOff>
      <xdr:row>2</xdr:row>
      <xdr:rowOff>145678</xdr:rowOff>
    </xdr:from>
    <xdr:to>
      <xdr:col>12</xdr:col>
      <xdr:colOff>875739</xdr:colOff>
      <xdr:row>7</xdr:row>
      <xdr:rowOff>44264</xdr:rowOff>
    </xdr:to>
    <xdr:pic>
      <xdr:nvPicPr>
        <xdr:cNvPr id="2" name="図 1">
          <a:extLst>
            <a:ext uri="{FF2B5EF4-FFF2-40B4-BE49-F238E27FC236}">
              <a16:creationId xmlns="" xmlns:a16="http://schemas.microsoft.com/office/drawing/2014/main" id="{2DC54325-DC88-424E-B5CC-D885014FED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02235" y="481854"/>
          <a:ext cx="752475" cy="739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190500</xdr:colOff>
      <xdr:row>2</xdr:row>
      <xdr:rowOff>145677</xdr:rowOff>
    </xdr:from>
    <xdr:to>
      <xdr:col>11</xdr:col>
      <xdr:colOff>942975</xdr:colOff>
      <xdr:row>7</xdr:row>
      <xdr:rowOff>44263</xdr:rowOff>
    </xdr:to>
    <xdr:pic>
      <xdr:nvPicPr>
        <xdr:cNvPr id="3" name="図 2">
          <a:extLst>
            <a:ext uri="{FF2B5EF4-FFF2-40B4-BE49-F238E27FC236}">
              <a16:creationId xmlns="" xmlns:a16="http://schemas.microsoft.com/office/drawing/2014/main" id="{A5DBB996-DA50-3FFF-EC9C-49D5A03B0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0" y="481853"/>
          <a:ext cx="752475" cy="739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228600</xdr:colOff>
      <xdr:row>3</xdr:row>
      <xdr:rowOff>28575</xdr:rowOff>
    </xdr:from>
    <xdr:to>
      <xdr:col>11</xdr:col>
      <xdr:colOff>1181100</xdr:colOff>
      <xdr:row>3</xdr:row>
      <xdr:rowOff>742950</xdr:rowOff>
    </xdr:to>
    <xdr:pic>
      <xdr:nvPicPr>
        <xdr:cNvPr id="2" name="図 1" descr="クリップボード01.jpg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8029575" y="685800"/>
          <a:ext cx="952500" cy="714375"/>
        </a:xfrm>
        <a:prstGeom prst="rect">
          <a:avLst/>
        </a:prstGeom>
        <a:noFill/>
        <a:ln w="9525">
          <a:noFill/>
          <a:miter lim="800000"/>
        </a:ln>
      </xdr:spPr>
    </xdr:pic>
    <xdr:clientData/>
  </xdr:twoCellAnchor>
</xdr:wsDr>
</file>

<file path=xl/tables/table1.xml><?xml version="1.0" encoding="utf-8"?>
<table xmlns="http://schemas.openxmlformats.org/spreadsheetml/2006/main" id="1" name="テーブル1" displayName="テーブル1" ref="A3:AS249" totalsRowShown="0" headerRowDxfId="49" dataDxfId="47" headerRowBorderDxfId="48" tableBorderDxfId="46" totalsRowBorderDxfId="45" dataCellStyle="標準 2">
  <autoFilter ref="A3:AS249"/>
  <tableColumns count="45">
    <tableColumn id="1" name="Company" dataDxfId="44" dataCellStyle="標準 2"/>
    <tableColumn id="2" name="Currency" dataDxfId="43" dataCellStyle="標準 2"/>
    <tableColumn id="3" name="Account" dataDxfId="42" dataCellStyle="標準 2"/>
    <tableColumn id="4" name="W/W Asset No." dataDxfId="41" dataCellStyle="標準 2"/>
    <tableColumn id="5" name="LocalAssetNo" dataDxfId="40" dataCellStyle="標準 2"/>
    <tableColumn id="6" name="Name" dataDxfId="39" dataCellStyle="標準 2"/>
    <tableColumn id="7" name="Registration date_x000a_" dataDxfId="38" dataCellStyle="標準 2"/>
    <tableColumn id="8" name="The Purchase" dataDxfId="37" dataCellStyle="標準 2"/>
    <tableColumn id="9" name="Investment No_x000a_(RINGI No.)" dataDxfId="36" dataCellStyle="標準 2"/>
    <tableColumn id="10" name="Section code" dataDxfId="35" dataCellStyle="標準 2"/>
    <tableColumn id="11" name="Section name" dataDxfId="34" dataCellStyle="標準 2"/>
    <tableColumn id="12" name="Depreciation Method" dataDxfId="33" dataCellStyle="標準 2"/>
    <tableColumn id="13" name="Durable years" dataDxfId="32" dataCellStyle="標準 2"/>
    <tableColumn id="14" name="Acquisition Cost" dataDxfId="31" dataCellStyle="標準 2"/>
    <tableColumn id="15" name="Residual value" dataDxfId="30" dataCellStyle="標準 2"/>
    <tableColumn id="16" name="Book Value (pre-end of the year)" dataDxfId="29" dataCellStyle="標準 2"/>
    <tableColumn id="17" name="Depreciation Monthly" dataDxfId="28" dataCellStyle="標準 2"/>
    <tableColumn id="18" name="Book Value (after inpairment loss)" dataDxfId="27" dataCellStyle="標準 2"/>
    <tableColumn id="19" name="Start Date " dataDxfId="26" dataCellStyle="標準 2"/>
    <tableColumn id="20" name="Date" dataDxfId="25" dataCellStyle="標準 2"/>
    <tableColumn id="21" name="Impairment Loss" dataDxfId="24" dataCellStyle="標準 2"/>
    <tableColumn id="22" name="Segment" dataDxfId="23" dataCellStyle="標準 2"/>
    <tableColumn id="23" name="XYZ" dataDxfId="22" dataCellStyle="標準 2"/>
    <tableColumn id="24" name="Person in charge" dataDxfId="21" dataCellStyle="標準 2"/>
    <tableColumn id="25" name="Location place code" dataDxfId="20" dataCellStyle="標準 2"/>
    <tableColumn id="26" name="Location place name" dataDxfId="19" dataCellStyle="標準 2"/>
    <tableColumn id="27" name="Judgment1" dataDxfId="18" dataCellStyle="標準 2"/>
    <tableColumn id="28" name="Judgment2" dataDxfId="17" dataCellStyle="標準 2"/>
    <tableColumn id="29" name="Judgment12" dataDxfId="16" dataCellStyle="標準 2"/>
    <tableColumn id="30" name="Judgment23" dataDxfId="15" dataCellStyle="標準 2"/>
    <tableColumn id="31" name="XYZ4" dataDxfId="14" dataCellStyle="標準 2"/>
    <tableColumn id="32" name="Segment5" dataDxfId="13" dataCellStyle="標準 2">
      <calculatedColumnFormula>IF(ISERROR(VLOOKUP(AE4,小分類・セグメント!$A:$C,3,FALSE)),"",VLOOKUP(AE4,小分類・セグメント!$A:$C,3,FALSE))</calculatedColumnFormula>
    </tableColumn>
    <tableColumn id="33" name="Segment6" dataDxfId="12" dataCellStyle="標準 2">
      <calculatedColumnFormula>IF(ISERROR(VLOOKUP(AE4,小細分類・事業部マスタ!$E:$H,4,FALSE)),"",VLOOKUP(AE4,小細分類・事業部マスタ!$E:$H,4,FALSE))</calculatedColumnFormula>
    </tableColumn>
    <tableColumn id="34" name="Person in charge7" dataDxfId="11" dataCellStyle="標準 2"/>
    <tableColumn id="35" name="Location place code8" dataDxfId="10" dataCellStyle="標準 2 4">
      <calculatedColumnFormula>IF(ISERROR(VLOOKUP(AJ4,設置場所!$A:$B,2,FALSE)),"",VLOOKUP(AJ4,設置場所!$A:$B,2,FALSE))</calculatedColumnFormula>
    </tableColumn>
    <tableColumn id="36" name="Location place name9" dataDxfId="9" dataCellStyle="標準 2"/>
    <tableColumn id="37" name="Condition" dataDxfId="8" dataCellStyle="標準 2"/>
    <tableColumn id="38" name="Resale" dataDxfId="7" dataCellStyle="標準 2"/>
    <tableColumn id="39" name="Timing" dataDxfId="6" dataCellStyle="標準 2"/>
    <tableColumn id="40" name="Sales value" dataDxfId="5" dataCellStyle="標準 2"/>
    <tableColumn id="41" name="Buyer name" dataDxfId="4" dataCellStyle="標準 2"/>
    <tableColumn id="42" name="Purpose of purchase" dataDxfId="3" dataCellStyle="標準 2"/>
    <tableColumn id="43" name="Background to achieve the judgment" dataDxfId="2" dataCellStyle="標準 2"/>
    <tableColumn id="44" name="Plan of action after this survey" dataDxfId="1" dataCellStyle="標準 2"/>
    <tableColumn id="45" name="dummy" dataDxfId="0" dataCellStyle="標準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fitToPage="1"/>
  </sheetPr>
  <dimension ref="A1:BG249"/>
  <sheetViews>
    <sheetView showGridLines="0" tabSelected="1" zoomScale="115" zoomScaleNormal="115" workbookViewId="0">
      <pane xSplit="6" ySplit="3" topLeftCell="AR4" activePane="bottomRight" state="frozen"/>
      <selection pane="topRight" activeCell="G1" sqref="G1"/>
      <selection pane="bottomLeft" activeCell="A4" sqref="A4"/>
      <selection pane="bottomRight" activeCell="E12" sqref="E12"/>
    </sheetView>
  </sheetViews>
  <sheetFormatPr defaultColWidth="2" defaultRowHeight="10.8"/>
  <cols>
    <col min="1" max="1" width="8.44140625" style="33" customWidth="1"/>
    <col min="2" max="2" width="8.33203125" style="33" customWidth="1"/>
    <col min="3" max="3" width="11" style="33" customWidth="1"/>
    <col min="4" max="5" width="15.6640625" style="33" customWidth="1"/>
    <col min="6" max="6" width="26.21875" style="33" customWidth="1"/>
    <col min="7" max="7" width="8.6640625" style="112" customWidth="1"/>
    <col min="8" max="8" width="11.33203125" style="33" customWidth="1"/>
    <col min="9" max="9" width="11.6640625" style="33" customWidth="1"/>
    <col min="10" max="10" width="10.88671875" style="33" customWidth="1"/>
    <col min="11" max="11" width="11.6640625" style="33" customWidth="1"/>
    <col min="12" max="12" width="15.44140625" style="33" customWidth="1"/>
    <col min="13" max="13" width="11.109375" style="33" customWidth="1"/>
    <col min="14" max="14" width="13.109375" style="34" customWidth="1"/>
    <col min="15" max="15" width="11.6640625" style="34" customWidth="1"/>
    <col min="16" max="16" width="23.109375" style="34" customWidth="1"/>
    <col min="17" max="17" width="15.77734375" style="34" customWidth="1"/>
    <col min="18" max="18" width="23.6640625" style="116" customWidth="1"/>
    <col min="19" max="19" width="10.109375" style="112" customWidth="1"/>
    <col min="20" max="20" width="8.6640625" style="112" customWidth="1"/>
    <col min="21" max="21" width="12.77734375" style="34" customWidth="1"/>
    <col min="22" max="22" width="8.6640625" style="34" customWidth="1"/>
    <col min="23" max="23" width="8.6640625" style="33" customWidth="1"/>
    <col min="24" max="24" width="13.109375" style="33" customWidth="1"/>
    <col min="25" max="25" width="15.109375" style="33" customWidth="1"/>
    <col min="26" max="26" width="15.44140625" style="33" customWidth="1"/>
    <col min="27" max="28" width="9.44140625" style="33" customWidth="1"/>
    <col min="29" max="30" width="10.21875" style="33" customWidth="1"/>
    <col min="31" max="31" width="9.33203125" style="33" customWidth="1"/>
    <col min="32" max="32" width="9.33203125" style="15" customWidth="1"/>
    <col min="33" max="33" width="9" style="15" customWidth="1"/>
    <col min="34" max="34" width="13.88671875" style="33" customWidth="1"/>
    <col min="35" max="35" width="15.88671875" style="15" customWidth="1"/>
    <col min="36" max="36" width="16.109375" style="33" customWidth="1"/>
    <col min="37" max="37" width="9" style="33" customWidth="1"/>
    <col min="38" max="38" width="8.6640625" style="33" customWidth="1"/>
    <col min="39" max="39" width="7" style="34" customWidth="1"/>
    <col min="40" max="40" width="9.88671875" style="33" customWidth="1"/>
    <col min="41" max="41" width="10" style="33" customWidth="1"/>
    <col min="42" max="42" width="15.6640625" style="33" customWidth="1"/>
    <col min="43" max="43" width="25.44140625" style="33" customWidth="1"/>
    <col min="44" max="44" width="22" style="33" customWidth="1"/>
    <col min="45" max="50" width="2" style="33"/>
    <col min="51" max="51" width="2.21875" style="33" bestFit="1" customWidth="1"/>
    <col min="52" max="54" width="2" style="33"/>
    <col min="55" max="55" width="1.88671875" style="33" customWidth="1"/>
    <col min="56" max="16384" width="2" style="33"/>
  </cols>
  <sheetData>
    <row r="1" spans="1:59" ht="25.2" customHeight="1">
      <c r="A1" s="32" t="s">
        <v>1250</v>
      </c>
      <c r="W1" s="34"/>
      <c r="X1" s="34"/>
      <c r="Y1" s="34"/>
      <c r="Z1" s="34"/>
      <c r="AA1" s="164" t="s">
        <v>1251</v>
      </c>
      <c r="AB1" s="164"/>
      <c r="AC1" s="35" t="s">
        <v>1252</v>
      </c>
      <c r="AD1" s="36"/>
      <c r="AE1" s="36"/>
      <c r="AF1" s="37"/>
      <c r="AG1" s="37"/>
      <c r="AH1" s="36"/>
      <c r="AI1" s="37"/>
      <c r="AJ1" s="36"/>
      <c r="AK1" s="36"/>
      <c r="AL1" s="36"/>
      <c r="AM1" s="36"/>
      <c r="AN1" s="36"/>
      <c r="AO1" s="36"/>
      <c r="AP1" s="36"/>
      <c r="AQ1" s="36"/>
      <c r="AR1" s="38"/>
    </row>
    <row r="2" spans="1:59" s="40" customFormat="1" ht="14.25" customHeight="1">
      <c r="A2" s="46" t="s">
        <v>0</v>
      </c>
      <c r="B2" s="93" t="s">
        <v>1253</v>
      </c>
      <c r="C2" s="93" t="s">
        <v>1254</v>
      </c>
      <c r="D2" s="94" t="s">
        <v>1</v>
      </c>
      <c r="E2" s="93" t="s">
        <v>1255</v>
      </c>
      <c r="F2" s="46" t="s">
        <v>2</v>
      </c>
      <c r="G2" s="113" t="s">
        <v>1256</v>
      </c>
      <c r="H2" s="46" t="s">
        <v>3</v>
      </c>
      <c r="I2" s="93" t="s">
        <v>1257</v>
      </c>
      <c r="J2" s="46" t="s">
        <v>1053</v>
      </c>
      <c r="K2" s="46" t="s">
        <v>4</v>
      </c>
      <c r="L2" s="95" t="s">
        <v>1054</v>
      </c>
      <c r="M2" s="95" t="s">
        <v>5</v>
      </c>
      <c r="N2" s="96" t="s">
        <v>6</v>
      </c>
      <c r="O2" s="96" t="s">
        <v>7</v>
      </c>
      <c r="P2" s="97" t="s">
        <v>1258</v>
      </c>
      <c r="Q2" s="97" t="s">
        <v>1259</v>
      </c>
      <c r="R2" s="117" t="s">
        <v>1260</v>
      </c>
      <c r="S2" s="115" t="s">
        <v>1261</v>
      </c>
      <c r="T2" s="115" t="s">
        <v>1262</v>
      </c>
      <c r="U2" s="97" t="s">
        <v>1263</v>
      </c>
      <c r="V2" s="97" t="s">
        <v>1351</v>
      </c>
      <c r="W2" s="46" t="s">
        <v>1363</v>
      </c>
      <c r="X2" s="46" t="s">
        <v>1364</v>
      </c>
      <c r="Y2" s="118" t="s">
        <v>1365</v>
      </c>
      <c r="Z2" s="46" t="s">
        <v>1366</v>
      </c>
      <c r="AA2" s="98" t="s">
        <v>1264</v>
      </c>
      <c r="AB2" s="98" t="s">
        <v>1265</v>
      </c>
      <c r="AC2" s="106" t="s">
        <v>1348</v>
      </c>
      <c r="AD2" s="106" t="s">
        <v>1349</v>
      </c>
      <c r="AE2" s="106" t="s">
        <v>1350</v>
      </c>
      <c r="AF2" s="107" t="s">
        <v>1351</v>
      </c>
      <c r="AG2" s="107" t="s">
        <v>985</v>
      </c>
      <c r="AH2" s="106" t="s">
        <v>1352</v>
      </c>
      <c r="AI2" s="108" t="s">
        <v>1353</v>
      </c>
      <c r="AJ2" s="119" t="s">
        <v>1354</v>
      </c>
      <c r="AK2" s="47" t="s">
        <v>1266</v>
      </c>
      <c r="AL2" s="47" t="s">
        <v>8</v>
      </c>
      <c r="AM2" s="109" t="s">
        <v>10</v>
      </c>
      <c r="AN2" s="99" t="s">
        <v>11</v>
      </c>
      <c r="AO2" s="110" t="s">
        <v>12</v>
      </c>
      <c r="AP2" s="111" t="s">
        <v>13</v>
      </c>
      <c r="AQ2" s="111" t="s">
        <v>14</v>
      </c>
      <c r="AR2" s="110" t="s">
        <v>1267</v>
      </c>
      <c r="AX2" s="33"/>
      <c r="AY2" s="33"/>
      <c r="AZ2" s="33"/>
      <c r="BA2" s="33"/>
      <c r="BB2" s="33"/>
      <c r="BC2" s="33"/>
      <c r="BD2" s="33"/>
      <c r="BE2" s="33"/>
      <c r="BF2" s="33"/>
      <c r="BG2" s="33"/>
    </row>
    <row r="3" spans="1:59" s="40" customFormat="1" ht="14.25" customHeight="1">
      <c r="A3" s="132" t="s">
        <v>986</v>
      </c>
      <c r="B3" s="133" t="s">
        <v>987</v>
      </c>
      <c r="C3" s="134" t="s">
        <v>988</v>
      </c>
      <c r="D3" s="135" t="s">
        <v>1268</v>
      </c>
      <c r="E3" s="133" t="s">
        <v>9</v>
      </c>
      <c r="F3" s="136" t="s">
        <v>1269</v>
      </c>
      <c r="G3" s="137" t="s">
        <v>1270</v>
      </c>
      <c r="H3" s="136" t="s">
        <v>989</v>
      </c>
      <c r="I3" s="133" t="s">
        <v>1271</v>
      </c>
      <c r="J3" s="136" t="s">
        <v>1272</v>
      </c>
      <c r="K3" s="136" t="s">
        <v>1273</v>
      </c>
      <c r="L3" s="138" t="s">
        <v>1274</v>
      </c>
      <c r="M3" s="138" t="s">
        <v>1275</v>
      </c>
      <c r="N3" s="139" t="s">
        <v>1276</v>
      </c>
      <c r="O3" s="139" t="s">
        <v>1277</v>
      </c>
      <c r="P3" s="140" t="s">
        <v>1278</v>
      </c>
      <c r="Q3" s="140" t="s">
        <v>1279</v>
      </c>
      <c r="R3" s="141" t="s">
        <v>1280</v>
      </c>
      <c r="S3" s="142" t="s">
        <v>1281</v>
      </c>
      <c r="T3" s="142" t="s">
        <v>1282</v>
      </c>
      <c r="U3" s="140" t="s">
        <v>1283</v>
      </c>
      <c r="V3" s="140" t="s">
        <v>1284</v>
      </c>
      <c r="W3" s="136" t="s">
        <v>990</v>
      </c>
      <c r="X3" s="136" t="s">
        <v>1285</v>
      </c>
      <c r="Y3" s="143" t="s">
        <v>1055</v>
      </c>
      <c r="Z3" s="136" t="s">
        <v>1056</v>
      </c>
      <c r="AA3" s="144" t="s">
        <v>1286</v>
      </c>
      <c r="AB3" s="144" t="s">
        <v>1287</v>
      </c>
      <c r="AC3" s="145" t="s">
        <v>1355</v>
      </c>
      <c r="AD3" s="145" t="s">
        <v>1356</v>
      </c>
      <c r="AE3" s="145" t="s">
        <v>1357</v>
      </c>
      <c r="AF3" s="146" t="s">
        <v>1358</v>
      </c>
      <c r="AG3" s="147" t="s">
        <v>1359</v>
      </c>
      <c r="AH3" s="148" t="s">
        <v>1360</v>
      </c>
      <c r="AI3" s="149" t="s">
        <v>1361</v>
      </c>
      <c r="AJ3" s="150" t="s">
        <v>1362</v>
      </c>
      <c r="AK3" s="151" t="s">
        <v>1290</v>
      </c>
      <c r="AL3" s="151" t="s">
        <v>1291</v>
      </c>
      <c r="AM3" s="152" t="s">
        <v>991</v>
      </c>
      <c r="AN3" s="153" t="s">
        <v>992</v>
      </c>
      <c r="AO3" s="154" t="s">
        <v>993</v>
      </c>
      <c r="AP3" s="154" t="s">
        <v>994</v>
      </c>
      <c r="AQ3" s="154" t="s">
        <v>995</v>
      </c>
      <c r="AR3" s="155" t="s">
        <v>996</v>
      </c>
      <c r="AS3" s="172" t="s">
        <v>2208</v>
      </c>
      <c r="AX3" s="33"/>
      <c r="AY3" s="33"/>
      <c r="AZ3" s="33"/>
      <c r="BA3" s="33"/>
      <c r="BB3" s="33"/>
      <c r="BC3" s="33"/>
      <c r="BD3" s="33"/>
      <c r="BE3" s="33"/>
      <c r="BF3" s="33"/>
      <c r="BG3" s="33"/>
    </row>
    <row r="4" spans="1:59">
      <c r="A4" s="131" t="s">
        <v>1224</v>
      </c>
      <c r="B4" s="156" t="s">
        <v>1337</v>
      </c>
      <c r="C4" s="156" t="s">
        <v>1322</v>
      </c>
      <c r="D4" s="156" t="s">
        <v>1319</v>
      </c>
      <c r="E4" s="156"/>
      <c r="F4" s="156" t="s">
        <v>1677</v>
      </c>
      <c r="G4" s="157">
        <v>43384</v>
      </c>
      <c r="H4" s="158" t="s">
        <v>1909</v>
      </c>
      <c r="I4" s="158" t="s">
        <v>1954</v>
      </c>
      <c r="J4" s="156" t="s">
        <v>2135</v>
      </c>
      <c r="K4" s="156" t="s">
        <v>2150</v>
      </c>
      <c r="L4" s="156" t="s">
        <v>2165</v>
      </c>
      <c r="M4" s="156">
        <v>15</v>
      </c>
      <c r="N4" s="159">
        <v>2474400</v>
      </c>
      <c r="O4" s="160">
        <v>1</v>
      </c>
      <c r="P4" s="160">
        <v>1728372</v>
      </c>
      <c r="Q4" s="160">
        <v>13816</v>
      </c>
      <c r="R4" s="159">
        <v>1686926</v>
      </c>
      <c r="S4" s="157"/>
      <c r="T4" s="157"/>
      <c r="U4" s="161">
        <v>0</v>
      </c>
      <c r="V4" s="158" t="s">
        <v>852</v>
      </c>
      <c r="W4" s="158" t="s">
        <v>627</v>
      </c>
      <c r="X4" s="158" t="s">
        <v>2169</v>
      </c>
      <c r="Y4" s="162" t="s">
        <v>2185</v>
      </c>
      <c r="Z4" s="163" t="s">
        <v>2191</v>
      </c>
      <c r="AA4" s="163">
        <v>1</v>
      </c>
      <c r="AB4" s="163">
        <v>1</v>
      </c>
      <c r="AC4" s="101">
        <v>1</v>
      </c>
      <c r="AD4" s="101">
        <v>1</v>
      </c>
      <c r="AE4" s="101" t="s">
        <v>2201</v>
      </c>
      <c r="AF4" s="102" t="str">
        <f>IF(ISERROR(VLOOKUP(AE4,小分類・セグメント!$A:$C,3,FALSE)),"",VLOOKUP(AE4,小分類・セグメント!$A:$C,3,FALSE))</f>
        <v>ECD</v>
      </c>
      <c r="AG4" s="103" t="str">
        <f>IF(ISERROR(VLOOKUP(AE4,小細分類・事業部マスタ!$E:$H,4,FALSE)),"",VLOOKUP(AE4,小細分類・事業部マスタ!$E:$H,4,FALSE))</f>
        <v>パワーデバイス事業部</v>
      </c>
      <c r="AH4" s="101" t="s">
        <v>2169</v>
      </c>
      <c r="AI4" s="104">
        <f>IF(ISERROR(VLOOKUP(AJ4,設置場所!$A:$B,2,FALSE)),"",VLOOKUP(AJ4,設置場所!$A:$B,2,FALSE))</f>
        <v>900000030</v>
      </c>
      <c r="AJ4" s="101" t="s">
        <v>2191</v>
      </c>
      <c r="AK4" s="101" t="s">
        <v>1331</v>
      </c>
      <c r="AL4" s="101" t="s">
        <v>1336</v>
      </c>
      <c r="AM4" s="101"/>
      <c r="AN4" s="101"/>
      <c r="AO4" s="101"/>
      <c r="AP4" s="101"/>
      <c r="AQ4" s="101"/>
      <c r="AR4" s="105"/>
      <c r="AS4" s="171" t="s">
        <v>2209</v>
      </c>
    </row>
    <row r="5" spans="1:59">
      <c r="A5" s="131" t="s">
        <v>1224</v>
      </c>
      <c r="B5" s="156" t="s">
        <v>1337</v>
      </c>
      <c r="C5" s="156" t="s">
        <v>1322</v>
      </c>
      <c r="D5" s="156" t="s">
        <v>1318</v>
      </c>
      <c r="E5" s="156"/>
      <c r="F5" s="156" t="s">
        <v>1678</v>
      </c>
      <c r="G5" s="157">
        <v>43708</v>
      </c>
      <c r="H5" s="158" t="s">
        <v>1910</v>
      </c>
      <c r="I5" s="158" t="s">
        <v>1955</v>
      </c>
      <c r="J5" s="156" t="s">
        <v>2136</v>
      </c>
      <c r="K5" s="156" t="s">
        <v>2151</v>
      </c>
      <c r="L5" s="156" t="s">
        <v>2165</v>
      </c>
      <c r="M5" s="156">
        <v>15</v>
      </c>
      <c r="N5" s="159">
        <v>2400000</v>
      </c>
      <c r="O5" s="160">
        <v>1</v>
      </c>
      <c r="P5" s="160">
        <v>1810400</v>
      </c>
      <c r="Q5" s="160">
        <v>13400</v>
      </c>
      <c r="R5" s="159">
        <v>1770200</v>
      </c>
      <c r="S5" s="157"/>
      <c r="T5" s="157"/>
      <c r="U5" s="161">
        <v>0</v>
      </c>
      <c r="V5" s="158" t="s">
        <v>852</v>
      </c>
      <c r="W5" s="158" t="s">
        <v>627</v>
      </c>
      <c r="X5" s="158" t="s">
        <v>2170</v>
      </c>
      <c r="Y5" s="162" t="s">
        <v>2186</v>
      </c>
      <c r="Z5" s="163" t="s">
        <v>2192</v>
      </c>
      <c r="AA5" s="163">
        <v>1</v>
      </c>
      <c r="AB5" s="163">
        <v>1</v>
      </c>
      <c r="AC5" s="101">
        <v>1</v>
      </c>
      <c r="AD5" s="101">
        <v>1</v>
      </c>
      <c r="AE5" s="101" t="s">
        <v>2201</v>
      </c>
      <c r="AF5" s="102" t="str">
        <f>IF(ISERROR(VLOOKUP(AE5,小分類・セグメント!$A:$C,3,FALSE)),"",VLOOKUP(AE5,小分類・セグメント!$A:$C,3,FALSE))</f>
        <v>ECD</v>
      </c>
      <c r="AG5" s="103" t="str">
        <f>IF(ISERROR(VLOOKUP(AE5,小細分類・事業部マスタ!$E:$H,4,FALSE)),"",VLOOKUP(AE5,小細分類・事業部マスタ!$E:$H,4,FALSE))</f>
        <v>パワーデバイス事業部</v>
      </c>
      <c r="AH5" s="101" t="s">
        <v>2170</v>
      </c>
      <c r="AI5" s="104">
        <f>IF(ISERROR(VLOOKUP(AJ5,設置場所!$A:$B,2,FALSE)),"",VLOOKUP(AJ5,設置場所!$A:$B,2,FALSE))</f>
        <v>900000040</v>
      </c>
      <c r="AJ5" s="101" t="s">
        <v>2192</v>
      </c>
      <c r="AK5" s="101" t="s">
        <v>1331</v>
      </c>
      <c r="AL5" s="101" t="s">
        <v>1336</v>
      </c>
      <c r="AM5" s="101"/>
      <c r="AN5" s="101"/>
      <c r="AO5" s="101"/>
      <c r="AP5" s="101"/>
      <c r="AQ5" s="101"/>
      <c r="AR5" s="105"/>
      <c r="AS5" s="171"/>
    </row>
    <row r="6" spans="1:59">
      <c r="A6" s="131" t="s">
        <v>1224</v>
      </c>
      <c r="B6" s="156" t="s">
        <v>1337</v>
      </c>
      <c r="C6" s="156" t="s">
        <v>1322</v>
      </c>
      <c r="D6" s="156" t="s">
        <v>1317</v>
      </c>
      <c r="E6" s="156"/>
      <c r="F6" s="156" t="s">
        <v>1679</v>
      </c>
      <c r="G6" s="157">
        <v>43738</v>
      </c>
      <c r="H6" s="158" t="s">
        <v>1911</v>
      </c>
      <c r="I6" s="158" t="s">
        <v>1956</v>
      </c>
      <c r="J6" s="156" t="s">
        <v>2137</v>
      </c>
      <c r="K6" s="156" t="s">
        <v>2152</v>
      </c>
      <c r="L6" s="156" t="s">
        <v>2165</v>
      </c>
      <c r="M6" s="156">
        <v>15</v>
      </c>
      <c r="N6" s="159">
        <v>688215</v>
      </c>
      <c r="O6" s="160">
        <v>1</v>
      </c>
      <c r="P6" s="160">
        <v>522988</v>
      </c>
      <c r="Q6" s="160">
        <v>3842</v>
      </c>
      <c r="R6" s="159">
        <v>511461</v>
      </c>
      <c r="S6" s="157"/>
      <c r="T6" s="157"/>
      <c r="U6" s="161">
        <v>0</v>
      </c>
      <c r="V6" s="158" t="s">
        <v>852</v>
      </c>
      <c r="W6" s="158" t="s">
        <v>627</v>
      </c>
      <c r="X6" s="158" t="s">
        <v>2171</v>
      </c>
      <c r="Y6" s="162" t="s">
        <v>2185</v>
      </c>
      <c r="Z6" s="163" t="s">
        <v>2191</v>
      </c>
      <c r="AA6" s="163">
        <v>1</v>
      </c>
      <c r="AB6" s="163">
        <v>1</v>
      </c>
      <c r="AC6" s="101">
        <v>1</v>
      </c>
      <c r="AD6" s="101">
        <v>1</v>
      </c>
      <c r="AE6" s="101" t="s">
        <v>2201</v>
      </c>
      <c r="AF6" s="102" t="str">
        <f>IF(ISERROR(VLOOKUP(AE6,小分類・セグメント!$A:$C,3,FALSE)),"",VLOOKUP(AE6,小分類・セグメント!$A:$C,3,FALSE))</f>
        <v>ECD</v>
      </c>
      <c r="AG6" s="103" t="str">
        <f>IF(ISERROR(VLOOKUP(AE6,小細分類・事業部マスタ!$E:$H,4,FALSE)),"",VLOOKUP(AE6,小細分類・事業部マスタ!$E:$H,4,FALSE))</f>
        <v>パワーデバイス事業部</v>
      </c>
      <c r="AH6" s="101" t="s">
        <v>2171</v>
      </c>
      <c r="AI6" s="104">
        <f>IF(ISERROR(VLOOKUP(AJ6,設置場所!$A:$B,2,FALSE)),"",VLOOKUP(AJ6,設置場所!$A:$B,2,FALSE))</f>
        <v>900000030</v>
      </c>
      <c r="AJ6" s="101" t="s">
        <v>2191</v>
      </c>
      <c r="AK6" s="101" t="s">
        <v>1331</v>
      </c>
      <c r="AL6" s="101" t="s">
        <v>1336</v>
      </c>
      <c r="AM6" s="101"/>
      <c r="AN6" s="101"/>
      <c r="AO6" s="101"/>
      <c r="AP6" s="101"/>
      <c r="AQ6" s="101"/>
      <c r="AR6" s="105"/>
      <c r="AS6" s="171"/>
    </row>
    <row r="7" spans="1:59">
      <c r="A7" s="131" t="s">
        <v>1224</v>
      </c>
      <c r="B7" s="156" t="s">
        <v>1337</v>
      </c>
      <c r="C7" s="156" t="s">
        <v>1322</v>
      </c>
      <c r="D7" s="156" t="s">
        <v>1316</v>
      </c>
      <c r="E7" s="156"/>
      <c r="F7" s="156" t="s">
        <v>1680</v>
      </c>
      <c r="G7" s="157">
        <v>43770</v>
      </c>
      <c r="H7" s="158" t="s">
        <v>1912</v>
      </c>
      <c r="I7" s="158" t="s">
        <v>1957</v>
      </c>
      <c r="J7" s="156" t="s">
        <v>2138</v>
      </c>
      <c r="K7" s="156" t="s">
        <v>2153</v>
      </c>
      <c r="L7" s="156" t="s">
        <v>2165</v>
      </c>
      <c r="M7" s="156">
        <v>15</v>
      </c>
      <c r="N7" s="159">
        <v>93000000</v>
      </c>
      <c r="O7" s="160">
        <v>1</v>
      </c>
      <c r="P7" s="160">
        <v>71710750</v>
      </c>
      <c r="Q7" s="160">
        <v>519250</v>
      </c>
      <c r="R7" s="159">
        <v>70153000</v>
      </c>
      <c r="S7" s="157"/>
      <c r="T7" s="157"/>
      <c r="U7" s="161">
        <v>0</v>
      </c>
      <c r="V7" s="158" t="s">
        <v>852</v>
      </c>
      <c r="W7" s="158" t="s">
        <v>627</v>
      </c>
      <c r="X7" s="158" t="s">
        <v>2169</v>
      </c>
      <c r="Y7" s="162" t="s">
        <v>2185</v>
      </c>
      <c r="Z7" s="163" t="s">
        <v>2191</v>
      </c>
      <c r="AA7" s="163">
        <v>1</v>
      </c>
      <c r="AB7" s="163">
        <v>1</v>
      </c>
      <c r="AC7" s="101">
        <v>1</v>
      </c>
      <c r="AD7" s="101">
        <v>1</v>
      </c>
      <c r="AE7" s="101" t="s">
        <v>2201</v>
      </c>
      <c r="AF7" s="102" t="str">
        <f>IF(ISERROR(VLOOKUP(AE7,小分類・セグメント!$A:$C,3,FALSE)),"",VLOOKUP(AE7,小分類・セグメント!$A:$C,3,FALSE))</f>
        <v>ECD</v>
      </c>
      <c r="AG7" s="103" t="str">
        <f>IF(ISERROR(VLOOKUP(AE7,小細分類・事業部マスタ!$E:$H,4,FALSE)),"",VLOOKUP(AE7,小細分類・事業部マスタ!$E:$H,4,FALSE))</f>
        <v>パワーデバイス事業部</v>
      </c>
      <c r="AH7" s="101" t="s">
        <v>2169</v>
      </c>
      <c r="AI7" s="104">
        <f>IF(ISERROR(VLOOKUP(AJ7,設置場所!$A:$B,2,FALSE)),"",VLOOKUP(AJ7,設置場所!$A:$B,2,FALSE))</f>
        <v>900000030</v>
      </c>
      <c r="AJ7" s="101" t="s">
        <v>2191</v>
      </c>
      <c r="AK7" s="101" t="s">
        <v>1331</v>
      </c>
      <c r="AL7" s="101" t="s">
        <v>1336</v>
      </c>
      <c r="AM7" s="101"/>
      <c r="AN7" s="101"/>
      <c r="AO7" s="101"/>
      <c r="AP7" s="101"/>
      <c r="AQ7" s="101"/>
      <c r="AR7" s="105"/>
      <c r="AS7" s="171"/>
    </row>
    <row r="8" spans="1:59">
      <c r="A8" s="131" t="s">
        <v>1224</v>
      </c>
      <c r="B8" s="156" t="s">
        <v>1337</v>
      </c>
      <c r="C8" s="156" t="s">
        <v>1322</v>
      </c>
      <c r="D8" s="156" t="s">
        <v>1315</v>
      </c>
      <c r="E8" s="156"/>
      <c r="F8" s="156" t="s">
        <v>1681</v>
      </c>
      <c r="G8" s="157">
        <v>43770</v>
      </c>
      <c r="H8" s="158" t="s">
        <v>1913</v>
      </c>
      <c r="I8" s="158" t="s">
        <v>1958</v>
      </c>
      <c r="J8" s="156" t="s">
        <v>2138</v>
      </c>
      <c r="K8" s="156" t="s">
        <v>2153</v>
      </c>
      <c r="L8" s="156" t="s">
        <v>2165</v>
      </c>
      <c r="M8" s="156">
        <v>15</v>
      </c>
      <c r="N8" s="159">
        <v>34700000</v>
      </c>
      <c r="O8" s="160">
        <v>1</v>
      </c>
      <c r="P8" s="160">
        <v>26756592</v>
      </c>
      <c r="Q8" s="160">
        <v>193742</v>
      </c>
      <c r="R8" s="159">
        <v>26175367</v>
      </c>
      <c r="S8" s="157"/>
      <c r="T8" s="157"/>
      <c r="U8" s="161">
        <v>0</v>
      </c>
      <c r="V8" s="158" t="s">
        <v>852</v>
      </c>
      <c r="W8" s="158" t="s">
        <v>627</v>
      </c>
      <c r="X8" s="158" t="s">
        <v>2169</v>
      </c>
      <c r="Y8" s="162" t="s">
        <v>2185</v>
      </c>
      <c r="Z8" s="163" t="s">
        <v>2191</v>
      </c>
      <c r="AA8" s="163">
        <v>1</v>
      </c>
      <c r="AB8" s="163">
        <v>1</v>
      </c>
      <c r="AC8" s="101">
        <v>1</v>
      </c>
      <c r="AD8" s="101">
        <v>1</v>
      </c>
      <c r="AE8" s="101" t="s">
        <v>2201</v>
      </c>
      <c r="AF8" s="102" t="str">
        <f>IF(ISERROR(VLOOKUP(AE8,小分類・セグメント!$A:$C,3,FALSE)),"",VLOOKUP(AE8,小分類・セグメント!$A:$C,3,FALSE))</f>
        <v>ECD</v>
      </c>
      <c r="AG8" s="103" t="str">
        <f>IF(ISERROR(VLOOKUP(AE8,小細分類・事業部マスタ!$E:$H,4,FALSE)),"",VLOOKUP(AE8,小細分類・事業部マスタ!$E:$H,4,FALSE))</f>
        <v>パワーデバイス事業部</v>
      </c>
      <c r="AH8" s="101" t="s">
        <v>2169</v>
      </c>
      <c r="AI8" s="104">
        <f>IF(ISERROR(VLOOKUP(AJ8,設置場所!$A:$B,2,FALSE)),"",VLOOKUP(AJ8,設置場所!$A:$B,2,FALSE))</f>
        <v>900000030</v>
      </c>
      <c r="AJ8" s="101" t="s">
        <v>2191</v>
      </c>
      <c r="AK8" s="101" t="s">
        <v>1331</v>
      </c>
      <c r="AL8" s="101" t="s">
        <v>1336</v>
      </c>
      <c r="AM8" s="101"/>
      <c r="AN8" s="101"/>
      <c r="AO8" s="101"/>
      <c r="AP8" s="101"/>
      <c r="AQ8" s="101"/>
      <c r="AR8" s="105"/>
      <c r="AS8" s="171"/>
    </row>
    <row r="9" spans="1:59">
      <c r="A9" s="131" t="s">
        <v>1224</v>
      </c>
      <c r="B9" s="156" t="s">
        <v>1337</v>
      </c>
      <c r="C9" s="156" t="s">
        <v>1322</v>
      </c>
      <c r="D9" s="156" t="s">
        <v>1308</v>
      </c>
      <c r="E9" s="156"/>
      <c r="F9" s="156" t="s">
        <v>1682</v>
      </c>
      <c r="G9" s="157">
        <v>43770</v>
      </c>
      <c r="H9" s="158" t="s">
        <v>1914</v>
      </c>
      <c r="I9" s="158" t="s">
        <v>1959</v>
      </c>
      <c r="J9" s="156" t="s">
        <v>2138</v>
      </c>
      <c r="K9" s="156" t="s">
        <v>2153</v>
      </c>
      <c r="L9" s="156" t="s">
        <v>2165</v>
      </c>
      <c r="M9" s="156">
        <v>15</v>
      </c>
      <c r="N9" s="159">
        <v>463547</v>
      </c>
      <c r="O9" s="160">
        <v>1</v>
      </c>
      <c r="P9" s="160">
        <v>357436</v>
      </c>
      <c r="Q9" s="160">
        <v>2588</v>
      </c>
      <c r="R9" s="159">
        <v>349672</v>
      </c>
      <c r="S9" s="157"/>
      <c r="T9" s="157"/>
      <c r="U9" s="161">
        <v>0</v>
      </c>
      <c r="V9" s="158" t="s">
        <v>852</v>
      </c>
      <c r="W9" s="158" t="s">
        <v>627</v>
      </c>
      <c r="X9" s="158" t="s">
        <v>2169</v>
      </c>
      <c r="Y9" s="162" t="s">
        <v>2185</v>
      </c>
      <c r="Z9" s="163" t="s">
        <v>2191</v>
      </c>
      <c r="AA9" s="163">
        <v>1</v>
      </c>
      <c r="AB9" s="163">
        <v>1</v>
      </c>
      <c r="AC9" s="101">
        <v>1</v>
      </c>
      <c r="AD9" s="101">
        <v>1</v>
      </c>
      <c r="AE9" s="101" t="s">
        <v>2201</v>
      </c>
      <c r="AF9" s="102" t="str">
        <f>IF(ISERROR(VLOOKUP(AE9,小分類・セグメント!$A:$C,3,FALSE)),"",VLOOKUP(AE9,小分類・セグメント!$A:$C,3,FALSE))</f>
        <v>ECD</v>
      </c>
      <c r="AG9" s="103" t="str">
        <f>IF(ISERROR(VLOOKUP(AE9,小細分類・事業部マスタ!$E:$H,4,FALSE)),"",VLOOKUP(AE9,小細分類・事業部マスタ!$E:$H,4,FALSE))</f>
        <v>パワーデバイス事業部</v>
      </c>
      <c r="AH9" s="101" t="s">
        <v>2169</v>
      </c>
      <c r="AI9" s="104">
        <f>IF(ISERROR(VLOOKUP(AJ9,設置場所!$A:$B,2,FALSE)),"",VLOOKUP(AJ9,設置場所!$A:$B,2,FALSE))</f>
        <v>900000030</v>
      </c>
      <c r="AJ9" s="101" t="s">
        <v>2191</v>
      </c>
      <c r="AK9" s="101" t="s">
        <v>1331</v>
      </c>
      <c r="AL9" s="101" t="s">
        <v>1336</v>
      </c>
      <c r="AM9" s="101"/>
      <c r="AN9" s="101"/>
      <c r="AO9" s="101"/>
      <c r="AP9" s="101"/>
      <c r="AQ9" s="101"/>
      <c r="AR9" s="105"/>
      <c r="AS9" s="171"/>
    </row>
    <row r="10" spans="1:59">
      <c r="A10" s="131" t="s">
        <v>1224</v>
      </c>
      <c r="B10" s="156" t="s">
        <v>1337</v>
      </c>
      <c r="C10" s="156" t="s">
        <v>1322</v>
      </c>
      <c r="D10" s="156" t="s">
        <v>1314</v>
      </c>
      <c r="E10" s="156"/>
      <c r="F10" s="156" t="s">
        <v>1683</v>
      </c>
      <c r="G10" s="157">
        <v>43889</v>
      </c>
      <c r="H10" s="158" t="s">
        <v>1915</v>
      </c>
      <c r="I10" s="158" t="s">
        <v>1960</v>
      </c>
      <c r="J10" s="156" t="s">
        <v>2139</v>
      </c>
      <c r="K10" s="156" t="s">
        <v>2154</v>
      </c>
      <c r="L10" s="156" t="s">
        <v>2165</v>
      </c>
      <c r="M10" s="156">
        <v>15</v>
      </c>
      <c r="N10" s="159">
        <v>4039965</v>
      </c>
      <c r="O10" s="160">
        <v>1</v>
      </c>
      <c r="P10" s="160">
        <v>3182822</v>
      </c>
      <c r="Q10" s="160">
        <v>22557</v>
      </c>
      <c r="R10" s="159">
        <v>3115153</v>
      </c>
      <c r="S10" s="157"/>
      <c r="T10" s="157"/>
      <c r="U10" s="161">
        <v>0</v>
      </c>
      <c r="V10" s="158" t="s">
        <v>852</v>
      </c>
      <c r="W10" s="158" t="s">
        <v>627</v>
      </c>
      <c r="X10" s="158" t="s">
        <v>2172</v>
      </c>
      <c r="Y10" s="162" t="s">
        <v>2185</v>
      </c>
      <c r="Z10" s="163" t="s">
        <v>2191</v>
      </c>
      <c r="AA10" s="163">
        <v>1</v>
      </c>
      <c r="AB10" s="163">
        <v>1</v>
      </c>
      <c r="AC10" s="101">
        <v>1</v>
      </c>
      <c r="AD10" s="101">
        <v>1</v>
      </c>
      <c r="AE10" s="101" t="s">
        <v>2202</v>
      </c>
      <c r="AF10" s="102" t="str">
        <f>IF(ISERROR(VLOOKUP(AE10,小分類・セグメント!$A:$C,3,FALSE)),"",VLOOKUP(AE10,小分類・セグメント!$A:$C,3,FALSE))</f>
        <v>ECD</v>
      </c>
      <c r="AG10" s="103" t="str">
        <f>IF(ISERROR(VLOOKUP(AE10,小細分類・事業部マスタ!$E:$H,4,FALSE)),"",VLOOKUP(AE10,小細分類・事業部マスタ!$E:$H,4,FALSE))</f>
        <v>パワーデバイス事業部</v>
      </c>
      <c r="AH10" s="101" t="s">
        <v>2172</v>
      </c>
      <c r="AI10" s="104">
        <f>IF(ISERROR(VLOOKUP(AJ10,設置場所!$A:$B,2,FALSE)),"",VLOOKUP(AJ10,設置場所!$A:$B,2,FALSE))</f>
        <v>900000030</v>
      </c>
      <c r="AJ10" s="101" t="s">
        <v>2191</v>
      </c>
      <c r="AK10" s="101" t="s">
        <v>1331</v>
      </c>
      <c r="AL10" s="101" t="s">
        <v>1336</v>
      </c>
      <c r="AM10" s="101"/>
      <c r="AN10" s="101"/>
      <c r="AO10" s="101"/>
      <c r="AP10" s="101"/>
      <c r="AQ10" s="101"/>
      <c r="AR10" s="105"/>
      <c r="AS10" s="171"/>
    </row>
    <row r="11" spans="1:59">
      <c r="A11" s="131" t="s">
        <v>1224</v>
      </c>
      <c r="B11" s="156" t="s">
        <v>1337</v>
      </c>
      <c r="C11" s="156" t="s">
        <v>1322</v>
      </c>
      <c r="D11" s="156" t="s">
        <v>1313</v>
      </c>
      <c r="E11" s="156"/>
      <c r="F11" s="156" t="s">
        <v>1684</v>
      </c>
      <c r="G11" s="157">
        <v>43951</v>
      </c>
      <c r="H11" s="158"/>
      <c r="I11" s="158" t="s">
        <v>1960</v>
      </c>
      <c r="J11" s="156" t="s">
        <v>2139</v>
      </c>
      <c r="K11" s="156" t="s">
        <v>2154</v>
      </c>
      <c r="L11" s="156" t="s">
        <v>2165</v>
      </c>
      <c r="M11" s="156">
        <v>15</v>
      </c>
      <c r="N11" s="159">
        <v>86018</v>
      </c>
      <c r="O11" s="160">
        <v>1</v>
      </c>
      <c r="P11" s="160">
        <v>68729</v>
      </c>
      <c r="Q11" s="160">
        <v>480</v>
      </c>
      <c r="R11" s="159">
        <v>67289</v>
      </c>
      <c r="S11" s="157"/>
      <c r="T11" s="157"/>
      <c r="U11" s="161">
        <v>0</v>
      </c>
      <c r="V11" s="158" t="s">
        <v>852</v>
      </c>
      <c r="W11" s="158" t="s">
        <v>627</v>
      </c>
      <c r="X11" s="158" t="s">
        <v>2172</v>
      </c>
      <c r="Y11" s="162" t="s">
        <v>2185</v>
      </c>
      <c r="Z11" s="163" t="s">
        <v>2191</v>
      </c>
      <c r="AA11" s="163">
        <v>1</v>
      </c>
      <c r="AB11" s="163">
        <v>1</v>
      </c>
      <c r="AC11" s="101">
        <v>1</v>
      </c>
      <c r="AD11" s="101">
        <v>1</v>
      </c>
      <c r="AE11" s="101" t="s">
        <v>2202</v>
      </c>
      <c r="AF11" s="102" t="str">
        <f>IF(ISERROR(VLOOKUP(AE11,小分類・セグメント!$A:$C,3,FALSE)),"",VLOOKUP(AE11,小分類・セグメント!$A:$C,3,FALSE))</f>
        <v>ECD</v>
      </c>
      <c r="AG11" s="103" t="str">
        <f>IF(ISERROR(VLOOKUP(AE11,小細分類・事業部マスタ!$E:$H,4,FALSE)),"",VLOOKUP(AE11,小細分類・事業部マスタ!$E:$H,4,FALSE))</f>
        <v>パワーデバイス事業部</v>
      </c>
      <c r="AH11" s="101" t="s">
        <v>2172</v>
      </c>
      <c r="AI11" s="104">
        <f>IF(ISERROR(VLOOKUP(AJ11,設置場所!$A:$B,2,FALSE)),"",VLOOKUP(AJ11,設置場所!$A:$B,2,FALSE))</f>
        <v>900000030</v>
      </c>
      <c r="AJ11" s="101" t="s">
        <v>2191</v>
      </c>
      <c r="AK11" s="101" t="s">
        <v>1331</v>
      </c>
      <c r="AL11" s="101" t="s">
        <v>1336</v>
      </c>
      <c r="AM11" s="101"/>
      <c r="AN11" s="101"/>
      <c r="AO11" s="101"/>
      <c r="AP11" s="101"/>
      <c r="AQ11" s="101"/>
      <c r="AR11" s="105"/>
      <c r="AS11" s="171"/>
    </row>
    <row r="12" spans="1:59">
      <c r="A12" s="131" t="s">
        <v>1224</v>
      </c>
      <c r="B12" s="156" t="s">
        <v>1337</v>
      </c>
      <c r="C12" s="156" t="s">
        <v>1322</v>
      </c>
      <c r="D12" s="156" t="s">
        <v>1312</v>
      </c>
      <c r="E12" s="156"/>
      <c r="F12" s="156" t="s">
        <v>1685</v>
      </c>
      <c r="G12" s="157">
        <v>44075</v>
      </c>
      <c r="H12" s="158" t="s">
        <v>1916</v>
      </c>
      <c r="I12" s="158" t="s">
        <v>1961</v>
      </c>
      <c r="J12" s="156" t="s">
        <v>2136</v>
      </c>
      <c r="K12" s="156" t="s">
        <v>2151</v>
      </c>
      <c r="L12" s="156" t="s">
        <v>2165</v>
      </c>
      <c r="M12" s="156">
        <v>15</v>
      </c>
      <c r="N12" s="159">
        <v>1120000</v>
      </c>
      <c r="O12" s="160">
        <v>1</v>
      </c>
      <c r="P12" s="160">
        <v>926147</v>
      </c>
      <c r="Q12" s="160">
        <v>6254</v>
      </c>
      <c r="R12" s="159">
        <v>907387</v>
      </c>
      <c r="S12" s="157"/>
      <c r="T12" s="157"/>
      <c r="U12" s="161">
        <v>0</v>
      </c>
      <c r="V12" s="158" t="s">
        <v>852</v>
      </c>
      <c r="W12" s="158" t="s">
        <v>627</v>
      </c>
      <c r="X12" s="158" t="s">
        <v>2170</v>
      </c>
      <c r="Y12" s="162" t="s">
        <v>2186</v>
      </c>
      <c r="Z12" s="163" t="s">
        <v>2192</v>
      </c>
      <c r="AA12" s="163">
        <v>1</v>
      </c>
      <c r="AB12" s="163">
        <v>1</v>
      </c>
      <c r="AC12" s="101">
        <v>1</v>
      </c>
      <c r="AD12" s="101">
        <v>1</v>
      </c>
      <c r="AE12" s="101" t="s">
        <v>2201</v>
      </c>
      <c r="AF12" s="102" t="str">
        <f>IF(ISERROR(VLOOKUP(AE12,小分類・セグメント!$A:$C,3,FALSE)),"",VLOOKUP(AE12,小分類・セグメント!$A:$C,3,FALSE))</f>
        <v>ECD</v>
      </c>
      <c r="AG12" s="103" t="str">
        <f>IF(ISERROR(VLOOKUP(AE12,小細分類・事業部マスタ!$E:$H,4,FALSE)),"",VLOOKUP(AE12,小細分類・事業部マスタ!$E:$H,4,FALSE))</f>
        <v>パワーデバイス事業部</v>
      </c>
      <c r="AH12" s="101" t="s">
        <v>2170</v>
      </c>
      <c r="AI12" s="104">
        <f>IF(ISERROR(VLOOKUP(AJ12,設置場所!$A:$B,2,FALSE)),"",VLOOKUP(AJ12,設置場所!$A:$B,2,FALSE))</f>
        <v>900000040</v>
      </c>
      <c r="AJ12" s="101" t="s">
        <v>2192</v>
      </c>
      <c r="AK12" s="101" t="s">
        <v>1331</v>
      </c>
      <c r="AL12" s="101" t="s">
        <v>1336</v>
      </c>
      <c r="AM12" s="101"/>
      <c r="AN12" s="101"/>
      <c r="AO12" s="101"/>
      <c r="AP12" s="101"/>
      <c r="AQ12" s="101"/>
      <c r="AR12" s="105"/>
      <c r="AS12" s="171"/>
    </row>
    <row r="13" spans="1:59">
      <c r="A13" s="131" t="s">
        <v>1224</v>
      </c>
      <c r="B13" s="156" t="s">
        <v>1337</v>
      </c>
      <c r="C13" s="156" t="s">
        <v>1322</v>
      </c>
      <c r="D13" s="156" t="s">
        <v>1311</v>
      </c>
      <c r="E13" s="156"/>
      <c r="F13" s="156" t="s">
        <v>1686</v>
      </c>
      <c r="G13" s="157">
        <v>44075</v>
      </c>
      <c r="H13" s="158" t="s">
        <v>1913</v>
      </c>
      <c r="I13" s="158" t="s">
        <v>1962</v>
      </c>
      <c r="J13" s="156" t="s">
        <v>2136</v>
      </c>
      <c r="K13" s="156" t="s">
        <v>2151</v>
      </c>
      <c r="L13" s="156" t="s">
        <v>2165</v>
      </c>
      <c r="M13" s="156">
        <v>15</v>
      </c>
      <c r="N13" s="159">
        <v>2490000</v>
      </c>
      <c r="O13" s="160">
        <v>1</v>
      </c>
      <c r="P13" s="160">
        <v>2059023</v>
      </c>
      <c r="Q13" s="160">
        <v>13902</v>
      </c>
      <c r="R13" s="159">
        <v>2017316</v>
      </c>
      <c r="S13" s="157"/>
      <c r="T13" s="157"/>
      <c r="U13" s="161">
        <v>0</v>
      </c>
      <c r="V13" s="158" t="s">
        <v>852</v>
      </c>
      <c r="W13" s="158" t="s">
        <v>627</v>
      </c>
      <c r="X13" s="158" t="s">
        <v>2170</v>
      </c>
      <c r="Y13" s="162" t="s">
        <v>2186</v>
      </c>
      <c r="Z13" s="163" t="s">
        <v>2192</v>
      </c>
      <c r="AA13" s="163">
        <v>1</v>
      </c>
      <c r="AB13" s="163">
        <v>1</v>
      </c>
      <c r="AC13" s="101">
        <v>1</v>
      </c>
      <c r="AD13" s="101">
        <v>1</v>
      </c>
      <c r="AE13" s="101" t="s">
        <v>2201</v>
      </c>
      <c r="AF13" s="102" t="str">
        <f>IF(ISERROR(VLOOKUP(AE13,小分類・セグメント!$A:$C,3,FALSE)),"",VLOOKUP(AE13,小分類・セグメント!$A:$C,3,FALSE))</f>
        <v>ECD</v>
      </c>
      <c r="AG13" s="103" t="str">
        <f>IF(ISERROR(VLOOKUP(AE13,小細分類・事業部マスタ!$E:$H,4,FALSE)),"",VLOOKUP(AE13,小細分類・事業部マスタ!$E:$H,4,FALSE))</f>
        <v>パワーデバイス事業部</v>
      </c>
      <c r="AH13" s="101" t="s">
        <v>2170</v>
      </c>
      <c r="AI13" s="104">
        <f>IF(ISERROR(VLOOKUP(AJ13,設置場所!$A:$B,2,FALSE)),"",VLOOKUP(AJ13,設置場所!$A:$B,2,FALSE))</f>
        <v>900000040</v>
      </c>
      <c r="AJ13" s="101" t="s">
        <v>2192</v>
      </c>
      <c r="AK13" s="101" t="s">
        <v>1331</v>
      </c>
      <c r="AL13" s="101" t="s">
        <v>1336</v>
      </c>
      <c r="AM13" s="101"/>
      <c r="AN13" s="101"/>
      <c r="AO13" s="101"/>
      <c r="AP13" s="101"/>
      <c r="AQ13" s="101"/>
      <c r="AR13" s="105"/>
      <c r="AS13" s="171"/>
    </row>
    <row r="14" spans="1:59">
      <c r="A14" s="131" t="s">
        <v>1224</v>
      </c>
      <c r="B14" s="156" t="s">
        <v>1337</v>
      </c>
      <c r="C14" s="156" t="s">
        <v>1322</v>
      </c>
      <c r="D14" s="156" t="s">
        <v>1310</v>
      </c>
      <c r="E14" s="156"/>
      <c r="F14" s="156" t="s">
        <v>1687</v>
      </c>
      <c r="G14" s="157">
        <v>44110</v>
      </c>
      <c r="H14" s="158" t="s">
        <v>1916</v>
      </c>
      <c r="I14" s="158" t="s">
        <v>1963</v>
      </c>
      <c r="J14" s="156" t="s">
        <v>2136</v>
      </c>
      <c r="K14" s="156" t="s">
        <v>2151</v>
      </c>
      <c r="L14" s="156" t="s">
        <v>2165</v>
      </c>
      <c r="M14" s="156">
        <v>15</v>
      </c>
      <c r="N14" s="159">
        <v>2150000</v>
      </c>
      <c r="O14" s="160">
        <v>1</v>
      </c>
      <c r="P14" s="160">
        <v>1789875</v>
      </c>
      <c r="Q14" s="160">
        <v>12004</v>
      </c>
      <c r="R14" s="159">
        <v>1753863</v>
      </c>
      <c r="S14" s="157"/>
      <c r="T14" s="157"/>
      <c r="U14" s="161">
        <v>0</v>
      </c>
      <c r="V14" s="158" t="s">
        <v>852</v>
      </c>
      <c r="W14" s="158" t="s">
        <v>627</v>
      </c>
      <c r="X14" s="158" t="s">
        <v>2170</v>
      </c>
      <c r="Y14" s="162" t="s">
        <v>2185</v>
      </c>
      <c r="Z14" s="163" t="s">
        <v>2191</v>
      </c>
      <c r="AA14" s="163">
        <v>1</v>
      </c>
      <c r="AB14" s="163">
        <v>1</v>
      </c>
      <c r="AC14" s="101">
        <v>1</v>
      </c>
      <c r="AD14" s="101">
        <v>1</v>
      </c>
      <c r="AE14" s="101" t="s">
        <v>2201</v>
      </c>
      <c r="AF14" s="102" t="str">
        <f>IF(ISERROR(VLOOKUP(AE14,小分類・セグメント!$A:$C,3,FALSE)),"",VLOOKUP(AE14,小分類・セグメント!$A:$C,3,FALSE))</f>
        <v>ECD</v>
      </c>
      <c r="AG14" s="103" t="str">
        <f>IF(ISERROR(VLOOKUP(AE14,小細分類・事業部マスタ!$E:$H,4,FALSE)),"",VLOOKUP(AE14,小細分類・事業部マスタ!$E:$H,4,FALSE))</f>
        <v>パワーデバイス事業部</v>
      </c>
      <c r="AH14" s="101" t="s">
        <v>2170</v>
      </c>
      <c r="AI14" s="104">
        <f>IF(ISERROR(VLOOKUP(AJ14,設置場所!$A:$B,2,FALSE)),"",VLOOKUP(AJ14,設置場所!$A:$B,2,FALSE))</f>
        <v>900000030</v>
      </c>
      <c r="AJ14" s="101" t="s">
        <v>2191</v>
      </c>
      <c r="AK14" s="101" t="s">
        <v>1331</v>
      </c>
      <c r="AL14" s="101" t="s">
        <v>1336</v>
      </c>
      <c r="AM14" s="101"/>
      <c r="AN14" s="101"/>
      <c r="AO14" s="101"/>
      <c r="AP14" s="101"/>
      <c r="AQ14" s="101"/>
      <c r="AR14" s="105"/>
      <c r="AS14" s="171"/>
    </row>
    <row r="15" spans="1:59">
      <c r="A15" s="131" t="s">
        <v>1224</v>
      </c>
      <c r="B15" s="156" t="s">
        <v>1337</v>
      </c>
      <c r="C15" s="156" t="s">
        <v>1322</v>
      </c>
      <c r="D15" s="156" t="s">
        <v>1309</v>
      </c>
      <c r="E15" s="156"/>
      <c r="F15" s="156" t="s">
        <v>1688</v>
      </c>
      <c r="G15" s="157">
        <v>44176</v>
      </c>
      <c r="H15" s="158" t="s">
        <v>1913</v>
      </c>
      <c r="I15" s="158" t="s">
        <v>1964</v>
      </c>
      <c r="J15" s="156" t="s">
        <v>2136</v>
      </c>
      <c r="K15" s="156" t="s">
        <v>2151</v>
      </c>
      <c r="L15" s="156" t="s">
        <v>2165</v>
      </c>
      <c r="M15" s="156">
        <v>15</v>
      </c>
      <c r="N15" s="159">
        <v>9500000</v>
      </c>
      <c r="O15" s="160">
        <v>1</v>
      </c>
      <c r="P15" s="160">
        <v>8014834</v>
      </c>
      <c r="Q15" s="160">
        <v>53042</v>
      </c>
      <c r="R15" s="159">
        <v>7855709</v>
      </c>
      <c r="S15" s="157"/>
      <c r="T15" s="157"/>
      <c r="U15" s="161">
        <v>0</v>
      </c>
      <c r="V15" s="158" t="s">
        <v>852</v>
      </c>
      <c r="W15" s="158" t="s">
        <v>627</v>
      </c>
      <c r="X15" s="158" t="s">
        <v>2170</v>
      </c>
      <c r="Y15" s="162" t="s">
        <v>2185</v>
      </c>
      <c r="Z15" s="163" t="s">
        <v>2191</v>
      </c>
      <c r="AA15" s="163">
        <v>1</v>
      </c>
      <c r="AB15" s="163">
        <v>1</v>
      </c>
      <c r="AC15" s="101">
        <v>1</v>
      </c>
      <c r="AD15" s="101">
        <v>1</v>
      </c>
      <c r="AE15" s="101" t="s">
        <v>2201</v>
      </c>
      <c r="AF15" s="102" t="str">
        <f>IF(ISERROR(VLOOKUP(AE15,小分類・セグメント!$A:$C,3,FALSE)),"",VLOOKUP(AE15,小分類・セグメント!$A:$C,3,FALSE))</f>
        <v>ECD</v>
      </c>
      <c r="AG15" s="103" t="str">
        <f>IF(ISERROR(VLOOKUP(AE15,小細分類・事業部マスタ!$E:$H,4,FALSE)),"",VLOOKUP(AE15,小細分類・事業部マスタ!$E:$H,4,FALSE))</f>
        <v>パワーデバイス事業部</v>
      </c>
      <c r="AH15" s="101" t="s">
        <v>2170</v>
      </c>
      <c r="AI15" s="104">
        <f>IF(ISERROR(VLOOKUP(AJ15,設置場所!$A:$B,2,FALSE)),"",VLOOKUP(AJ15,設置場所!$A:$B,2,FALSE))</f>
        <v>900000030</v>
      </c>
      <c r="AJ15" s="101" t="s">
        <v>2191</v>
      </c>
      <c r="AK15" s="101" t="s">
        <v>1331</v>
      </c>
      <c r="AL15" s="101" t="s">
        <v>1336</v>
      </c>
      <c r="AM15" s="101"/>
      <c r="AN15" s="101"/>
      <c r="AO15" s="101"/>
      <c r="AP15" s="101"/>
      <c r="AQ15" s="101"/>
      <c r="AR15" s="105"/>
      <c r="AS15" s="171"/>
    </row>
    <row r="16" spans="1:59">
      <c r="A16" s="131" t="s">
        <v>1224</v>
      </c>
      <c r="B16" s="156" t="s">
        <v>1337</v>
      </c>
      <c r="C16" s="156" t="s">
        <v>1322</v>
      </c>
      <c r="D16" s="156" t="s">
        <v>1307</v>
      </c>
      <c r="E16" s="156"/>
      <c r="F16" s="156" t="s">
        <v>1689</v>
      </c>
      <c r="G16" s="157">
        <v>44255</v>
      </c>
      <c r="H16" s="158" t="s">
        <v>1913</v>
      </c>
      <c r="I16" s="158" t="s">
        <v>1965</v>
      </c>
      <c r="J16" s="156" t="s">
        <v>2136</v>
      </c>
      <c r="K16" s="156" t="s">
        <v>2151</v>
      </c>
      <c r="L16" s="156" t="s">
        <v>2165</v>
      </c>
      <c r="M16" s="156">
        <v>15</v>
      </c>
      <c r="N16" s="159">
        <v>7400000</v>
      </c>
      <c r="O16" s="160">
        <v>1</v>
      </c>
      <c r="P16" s="160">
        <v>6325767</v>
      </c>
      <c r="Q16" s="160">
        <v>41317</v>
      </c>
      <c r="R16" s="159">
        <v>6201817</v>
      </c>
      <c r="S16" s="157"/>
      <c r="T16" s="157"/>
      <c r="U16" s="161">
        <v>0</v>
      </c>
      <c r="V16" s="158" t="s">
        <v>852</v>
      </c>
      <c r="W16" s="158" t="s">
        <v>627</v>
      </c>
      <c r="X16" s="158" t="s">
        <v>2170</v>
      </c>
      <c r="Y16" s="162" t="s">
        <v>2185</v>
      </c>
      <c r="Z16" s="163" t="s">
        <v>2191</v>
      </c>
      <c r="AA16" s="163">
        <v>1</v>
      </c>
      <c r="AB16" s="163">
        <v>1</v>
      </c>
      <c r="AC16" s="101">
        <v>1</v>
      </c>
      <c r="AD16" s="101">
        <v>1</v>
      </c>
      <c r="AE16" s="101" t="s">
        <v>2201</v>
      </c>
      <c r="AF16" s="102" t="str">
        <f>IF(ISERROR(VLOOKUP(AE16,小分類・セグメント!$A:$C,3,FALSE)),"",VLOOKUP(AE16,小分類・セグメント!$A:$C,3,FALSE))</f>
        <v>ECD</v>
      </c>
      <c r="AG16" s="103" t="str">
        <f>IF(ISERROR(VLOOKUP(AE16,小細分類・事業部マスタ!$E:$H,4,FALSE)),"",VLOOKUP(AE16,小細分類・事業部マスタ!$E:$H,4,FALSE))</f>
        <v>パワーデバイス事業部</v>
      </c>
      <c r="AH16" s="101" t="s">
        <v>2170</v>
      </c>
      <c r="AI16" s="104">
        <f>IF(ISERROR(VLOOKUP(AJ16,設置場所!$A:$B,2,FALSE)),"",VLOOKUP(AJ16,設置場所!$A:$B,2,FALSE))</f>
        <v>900000030</v>
      </c>
      <c r="AJ16" s="101" t="s">
        <v>2191</v>
      </c>
      <c r="AK16" s="101" t="s">
        <v>1331</v>
      </c>
      <c r="AL16" s="101" t="s">
        <v>1336</v>
      </c>
      <c r="AM16" s="101"/>
      <c r="AN16" s="101"/>
      <c r="AO16" s="101"/>
      <c r="AP16" s="101"/>
      <c r="AQ16" s="101"/>
      <c r="AR16" s="105"/>
      <c r="AS16" s="171"/>
    </row>
    <row r="17" spans="1:45">
      <c r="A17" s="131" t="s">
        <v>1224</v>
      </c>
      <c r="B17" s="156" t="s">
        <v>1337</v>
      </c>
      <c r="C17" s="156" t="s">
        <v>1322</v>
      </c>
      <c r="D17" s="156" t="s">
        <v>1306</v>
      </c>
      <c r="E17" s="156"/>
      <c r="F17" s="156" t="s">
        <v>1690</v>
      </c>
      <c r="G17" s="157">
        <v>44255</v>
      </c>
      <c r="H17" s="158" t="s">
        <v>1917</v>
      </c>
      <c r="I17" s="158" t="s">
        <v>1966</v>
      </c>
      <c r="J17" s="156" t="s">
        <v>2136</v>
      </c>
      <c r="K17" s="156" t="s">
        <v>2151</v>
      </c>
      <c r="L17" s="156" t="s">
        <v>2165</v>
      </c>
      <c r="M17" s="156">
        <v>15</v>
      </c>
      <c r="N17" s="159">
        <v>69223000</v>
      </c>
      <c r="O17" s="160">
        <v>1</v>
      </c>
      <c r="P17" s="160">
        <v>59174128</v>
      </c>
      <c r="Q17" s="160">
        <v>386495</v>
      </c>
      <c r="R17" s="159">
        <v>58014643</v>
      </c>
      <c r="S17" s="157"/>
      <c r="T17" s="157"/>
      <c r="U17" s="161">
        <v>0</v>
      </c>
      <c r="V17" s="158" t="s">
        <v>852</v>
      </c>
      <c r="W17" s="158" t="s">
        <v>627</v>
      </c>
      <c r="X17" s="158" t="s">
        <v>2170</v>
      </c>
      <c r="Y17" s="162" t="s">
        <v>2185</v>
      </c>
      <c r="Z17" s="163" t="s">
        <v>2191</v>
      </c>
      <c r="AA17" s="163">
        <v>1</v>
      </c>
      <c r="AB17" s="163">
        <v>1</v>
      </c>
      <c r="AC17" s="101">
        <v>1</v>
      </c>
      <c r="AD17" s="101">
        <v>1</v>
      </c>
      <c r="AE17" s="101" t="s">
        <v>2201</v>
      </c>
      <c r="AF17" s="102" t="str">
        <f>IF(ISERROR(VLOOKUP(AE17,小分類・セグメント!$A:$C,3,FALSE)),"",VLOOKUP(AE17,小分類・セグメント!$A:$C,3,FALSE))</f>
        <v>ECD</v>
      </c>
      <c r="AG17" s="103" t="str">
        <f>IF(ISERROR(VLOOKUP(AE17,小細分類・事業部マスタ!$E:$H,4,FALSE)),"",VLOOKUP(AE17,小細分類・事業部マスタ!$E:$H,4,FALSE))</f>
        <v>パワーデバイス事業部</v>
      </c>
      <c r="AH17" s="101" t="s">
        <v>2170</v>
      </c>
      <c r="AI17" s="104">
        <f>IF(ISERROR(VLOOKUP(AJ17,設置場所!$A:$B,2,FALSE)),"",VLOOKUP(AJ17,設置場所!$A:$B,2,FALSE))</f>
        <v>900000030</v>
      </c>
      <c r="AJ17" s="101" t="s">
        <v>2191</v>
      </c>
      <c r="AK17" s="101" t="s">
        <v>1331</v>
      </c>
      <c r="AL17" s="101" t="s">
        <v>1336</v>
      </c>
      <c r="AM17" s="101"/>
      <c r="AN17" s="101"/>
      <c r="AO17" s="101"/>
      <c r="AP17" s="101"/>
      <c r="AQ17" s="101"/>
      <c r="AR17" s="105"/>
      <c r="AS17" s="171"/>
    </row>
    <row r="18" spans="1:45">
      <c r="A18" s="131" t="s">
        <v>1224</v>
      </c>
      <c r="B18" s="156" t="s">
        <v>1337</v>
      </c>
      <c r="C18" s="156" t="s">
        <v>1322</v>
      </c>
      <c r="D18" s="156" t="s">
        <v>1305</v>
      </c>
      <c r="E18" s="156"/>
      <c r="F18" s="156" t="s">
        <v>1691</v>
      </c>
      <c r="G18" s="157">
        <v>44255</v>
      </c>
      <c r="H18" s="158" t="s">
        <v>1917</v>
      </c>
      <c r="I18" s="158" t="s">
        <v>1966</v>
      </c>
      <c r="J18" s="156" t="s">
        <v>2136</v>
      </c>
      <c r="K18" s="156" t="s">
        <v>2151</v>
      </c>
      <c r="L18" s="156" t="s">
        <v>2165</v>
      </c>
      <c r="M18" s="156">
        <v>15</v>
      </c>
      <c r="N18" s="159">
        <v>20677000</v>
      </c>
      <c r="O18" s="160">
        <v>1</v>
      </c>
      <c r="P18" s="160">
        <v>17675389</v>
      </c>
      <c r="Q18" s="160">
        <v>115446</v>
      </c>
      <c r="R18" s="159">
        <v>17329050</v>
      </c>
      <c r="S18" s="157"/>
      <c r="T18" s="157"/>
      <c r="U18" s="161">
        <v>0</v>
      </c>
      <c r="V18" s="158" t="s">
        <v>852</v>
      </c>
      <c r="W18" s="158" t="s">
        <v>627</v>
      </c>
      <c r="X18" s="158" t="s">
        <v>2170</v>
      </c>
      <c r="Y18" s="162" t="s">
        <v>2186</v>
      </c>
      <c r="Z18" s="163" t="s">
        <v>2192</v>
      </c>
      <c r="AA18" s="163">
        <v>1</v>
      </c>
      <c r="AB18" s="163">
        <v>1</v>
      </c>
      <c r="AC18" s="101">
        <v>1</v>
      </c>
      <c r="AD18" s="101">
        <v>1</v>
      </c>
      <c r="AE18" s="101" t="s">
        <v>2201</v>
      </c>
      <c r="AF18" s="102" t="str">
        <f>IF(ISERROR(VLOOKUP(AE18,小分類・セグメント!$A:$C,3,FALSE)),"",VLOOKUP(AE18,小分類・セグメント!$A:$C,3,FALSE))</f>
        <v>ECD</v>
      </c>
      <c r="AG18" s="103" t="str">
        <f>IF(ISERROR(VLOOKUP(AE18,小細分類・事業部マスタ!$E:$H,4,FALSE)),"",VLOOKUP(AE18,小細分類・事業部マスタ!$E:$H,4,FALSE))</f>
        <v>パワーデバイス事業部</v>
      </c>
      <c r="AH18" s="101" t="s">
        <v>2170</v>
      </c>
      <c r="AI18" s="104">
        <f>IF(ISERROR(VLOOKUP(AJ18,設置場所!$A:$B,2,FALSE)),"",VLOOKUP(AJ18,設置場所!$A:$B,2,FALSE))</f>
        <v>900000040</v>
      </c>
      <c r="AJ18" s="101" t="s">
        <v>2192</v>
      </c>
      <c r="AK18" s="101" t="s">
        <v>1331</v>
      </c>
      <c r="AL18" s="101" t="s">
        <v>1336</v>
      </c>
      <c r="AM18" s="101"/>
      <c r="AN18" s="101"/>
      <c r="AO18" s="101"/>
      <c r="AP18" s="101"/>
      <c r="AQ18" s="101"/>
      <c r="AR18" s="105"/>
      <c r="AS18" s="171"/>
    </row>
    <row r="19" spans="1:45">
      <c r="A19" s="131" t="s">
        <v>1224</v>
      </c>
      <c r="B19" s="156" t="s">
        <v>1337</v>
      </c>
      <c r="C19" s="156" t="s">
        <v>1322</v>
      </c>
      <c r="D19" s="156" t="s">
        <v>1304</v>
      </c>
      <c r="E19" s="156"/>
      <c r="F19" s="156" t="s">
        <v>1692</v>
      </c>
      <c r="G19" s="157">
        <v>44255</v>
      </c>
      <c r="H19" s="158" t="s">
        <v>1917</v>
      </c>
      <c r="I19" s="158" t="s">
        <v>1967</v>
      </c>
      <c r="J19" s="156" t="s">
        <v>2136</v>
      </c>
      <c r="K19" s="156" t="s">
        <v>2151</v>
      </c>
      <c r="L19" s="156" t="s">
        <v>2165</v>
      </c>
      <c r="M19" s="156">
        <v>15</v>
      </c>
      <c r="N19" s="159">
        <v>700000</v>
      </c>
      <c r="O19" s="160">
        <v>1</v>
      </c>
      <c r="P19" s="160">
        <v>598384</v>
      </c>
      <c r="Q19" s="160">
        <v>3909</v>
      </c>
      <c r="R19" s="159">
        <v>586659</v>
      </c>
      <c r="S19" s="157"/>
      <c r="T19" s="157"/>
      <c r="U19" s="161">
        <v>0</v>
      </c>
      <c r="V19" s="158" t="s">
        <v>852</v>
      </c>
      <c r="W19" s="158" t="s">
        <v>627</v>
      </c>
      <c r="X19" s="158" t="s">
        <v>2170</v>
      </c>
      <c r="Y19" s="162" t="s">
        <v>2186</v>
      </c>
      <c r="Z19" s="163" t="s">
        <v>2192</v>
      </c>
      <c r="AA19" s="163">
        <v>1</v>
      </c>
      <c r="AB19" s="163">
        <v>1</v>
      </c>
      <c r="AC19" s="101">
        <v>1</v>
      </c>
      <c r="AD19" s="101">
        <v>1</v>
      </c>
      <c r="AE19" s="101" t="s">
        <v>2201</v>
      </c>
      <c r="AF19" s="102" t="str">
        <f>IF(ISERROR(VLOOKUP(AE19,小分類・セグメント!$A:$C,3,FALSE)),"",VLOOKUP(AE19,小分類・セグメント!$A:$C,3,FALSE))</f>
        <v>ECD</v>
      </c>
      <c r="AG19" s="103" t="str">
        <f>IF(ISERROR(VLOOKUP(AE19,小細分類・事業部マスタ!$E:$H,4,FALSE)),"",VLOOKUP(AE19,小細分類・事業部マスタ!$E:$H,4,FALSE))</f>
        <v>パワーデバイス事業部</v>
      </c>
      <c r="AH19" s="101" t="s">
        <v>2170</v>
      </c>
      <c r="AI19" s="104">
        <f>IF(ISERROR(VLOOKUP(AJ19,設置場所!$A:$B,2,FALSE)),"",VLOOKUP(AJ19,設置場所!$A:$B,2,FALSE))</f>
        <v>900000040</v>
      </c>
      <c r="AJ19" s="101" t="s">
        <v>2192</v>
      </c>
      <c r="AK19" s="101" t="s">
        <v>1331</v>
      </c>
      <c r="AL19" s="101" t="s">
        <v>1336</v>
      </c>
      <c r="AM19" s="101"/>
      <c r="AN19" s="101"/>
      <c r="AO19" s="101"/>
      <c r="AP19" s="101"/>
      <c r="AQ19" s="101"/>
      <c r="AR19" s="105"/>
      <c r="AS19" s="171"/>
    </row>
    <row r="20" spans="1:45">
      <c r="A20" s="131" t="s">
        <v>1224</v>
      </c>
      <c r="B20" s="156" t="s">
        <v>1337</v>
      </c>
      <c r="C20" s="156" t="s">
        <v>1322</v>
      </c>
      <c r="D20" s="156" t="s">
        <v>1303</v>
      </c>
      <c r="E20" s="156"/>
      <c r="F20" s="156" t="s">
        <v>1693</v>
      </c>
      <c r="G20" s="157">
        <v>44286</v>
      </c>
      <c r="H20" s="158" t="s">
        <v>1913</v>
      </c>
      <c r="I20" s="158" t="s">
        <v>1965</v>
      </c>
      <c r="J20" s="156" t="s">
        <v>2136</v>
      </c>
      <c r="K20" s="156" t="s">
        <v>2151</v>
      </c>
      <c r="L20" s="156" t="s">
        <v>2165</v>
      </c>
      <c r="M20" s="156">
        <v>15</v>
      </c>
      <c r="N20" s="159">
        <v>6150000</v>
      </c>
      <c r="O20" s="160">
        <v>1</v>
      </c>
      <c r="P20" s="160">
        <v>5291563</v>
      </c>
      <c r="Q20" s="160">
        <v>34337</v>
      </c>
      <c r="R20" s="159">
        <v>5188551</v>
      </c>
      <c r="S20" s="157"/>
      <c r="T20" s="157"/>
      <c r="U20" s="161">
        <v>0</v>
      </c>
      <c r="V20" s="158" t="s">
        <v>852</v>
      </c>
      <c r="W20" s="158" t="s">
        <v>627</v>
      </c>
      <c r="X20" s="158" t="s">
        <v>2170</v>
      </c>
      <c r="Y20" s="162" t="s">
        <v>2185</v>
      </c>
      <c r="Z20" s="163" t="s">
        <v>2191</v>
      </c>
      <c r="AA20" s="163">
        <v>1</v>
      </c>
      <c r="AB20" s="163">
        <v>1</v>
      </c>
      <c r="AC20" s="101">
        <v>1</v>
      </c>
      <c r="AD20" s="101">
        <v>1</v>
      </c>
      <c r="AE20" s="101" t="s">
        <v>2201</v>
      </c>
      <c r="AF20" s="102" t="str">
        <f>IF(ISERROR(VLOOKUP(AE20,小分類・セグメント!$A:$C,3,FALSE)),"",VLOOKUP(AE20,小分類・セグメント!$A:$C,3,FALSE))</f>
        <v>ECD</v>
      </c>
      <c r="AG20" s="103" t="str">
        <f>IF(ISERROR(VLOOKUP(AE20,小細分類・事業部マスタ!$E:$H,4,FALSE)),"",VLOOKUP(AE20,小細分類・事業部マスタ!$E:$H,4,FALSE))</f>
        <v>パワーデバイス事業部</v>
      </c>
      <c r="AH20" s="101" t="s">
        <v>2170</v>
      </c>
      <c r="AI20" s="104">
        <f>IF(ISERROR(VLOOKUP(AJ20,設置場所!$A:$B,2,FALSE)),"",VLOOKUP(AJ20,設置場所!$A:$B,2,FALSE))</f>
        <v>900000030</v>
      </c>
      <c r="AJ20" s="101" t="s">
        <v>2191</v>
      </c>
      <c r="AK20" s="101" t="s">
        <v>1331</v>
      </c>
      <c r="AL20" s="101" t="s">
        <v>1336</v>
      </c>
      <c r="AM20" s="101"/>
      <c r="AN20" s="101"/>
      <c r="AO20" s="101"/>
      <c r="AP20" s="101"/>
      <c r="AQ20" s="101"/>
      <c r="AR20" s="105"/>
      <c r="AS20" s="171"/>
    </row>
    <row r="21" spans="1:45">
      <c r="A21" s="131" t="s">
        <v>1224</v>
      </c>
      <c r="B21" s="156" t="s">
        <v>1337</v>
      </c>
      <c r="C21" s="156" t="s">
        <v>1322</v>
      </c>
      <c r="D21" s="156" t="s">
        <v>1302</v>
      </c>
      <c r="E21" s="156"/>
      <c r="F21" s="156" t="s">
        <v>1694</v>
      </c>
      <c r="G21" s="157">
        <v>44298</v>
      </c>
      <c r="H21" s="158" t="s">
        <v>1917</v>
      </c>
      <c r="I21" s="158" t="s">
        <v>1968</v>
      </c>
      <c r="J21" s="156" t="s">
        <v>2136</v>
      </c>
      <c r="K21" s="156" t="s">
        <v>2151</v>
      </c>
      <c r="L21" s="156" t="s">
        <v>2165</v>
      </c>
      <c r="M21" s="156">
        <v>15</v>
      </c>
      <c r="N21" s="159">
        <v>918500</v>
      </c>
      <c r="O21" s="160">
        <v>1</v>
      </c>
      <c r="P21" s="160">
        <v>795422</v>
      </c>
      <c r="Q21" s="160">
        <v>5128</v>
      </c>
      <c r="R21" s="159">
        <v>780038</v>
      </c>
      <c r="S21" s="157"/>
      <c r="T21" s="157"/>
      <c r="U21" s="161">
        <v>0</v>
      </c>
      <c r="V21" s="158" t="s">
        <v>852</v>
      </c>
      <c r="W21" s="158" t="s">
        <v>627</v>
      </c>
      <c r="X21" s="158" t="s">
        <v>2170</v>
      </c>
      <c r="Y21" s="162" t="s">
        <v>2186</v>
      </c>
      <c r="Z21" s="163" t="s">
        <v>2192</v>
      </c>
      <c r="AA21" s="163">
        <v>1</v>
      </c>
      <c r="AB21" s="163">
        <v>1</v>
      </c>
      <c r="AC21" s="101">
        <v>1</v>
      </c>
      <c r="AD21" s="101">
        <v>1</v>
      </c>
      <c r="AE21" s="101" t="s">
        <v>2201</v>
      </c>
      <c r="AF21" s="102" t="str">
        <f>IF(ISERROR(VLOOKUP(AE21,小分類・セグメント!$A:$C,3,FALSE)),"",VLOOKUP(AE21,小分類・セグメント!$A:$C,3,FALSE))</f>
        <v>ECD</v>
      </c>
      <c r="AG21" s="103" t="str">
        <f>IF(ISERROR(VLOOKUP(AE21,小細分類・事業部マスタ!$E:$H,4,FALSE)),"",VLOOKUP(AE21,小細分類・事業部マスタ!$E:$H,4,FALSE))</f>
        <v>パワーデバイス事業部</v>
      </c>
      <c r="AH21" s="101" t="s">
        <v>2170</v>
      </c>
      <c r="AI21" s="104">
        <f>IF(ISERROR(VLOOKUP(AJ21,設置場所!$A:$B,2,FALSE)),"",VLOOKUP(AJ21,設置場所!$A:$B,2,FALSE))</f>
        <v>900000040</v>
      </c>
      <c r="AJ21" s="101" t="s">
        <v>2192</v>
      </c>
      <c r="AK21" s="101" t="s">
        <v>1331</v>
      </c>
      <c r="AL21" s="101" t="s">
        <v>1336</v>
      </c>
      <c r="AM21" s="101"/>
      <c r="AN21" s="101"/>
      <c r="AO21" s="101"/>
      <c r="AP21" s="101"/>
      <c r="AQ21" s="101"/>
      <c r="AR21" s="105"/>
      <c r="AS21" s="171"/>
    </row>
    <row r="22" spans="1:45">
      <c r="A22" s="131" t="s">
        <v>1224</v>
      </c>
      <c r="B22" s="156" t="s">
        <v>1337</v>
      </c>
      <c r="C22" s="156" t="s">
        <v>1322</v>
      </c>
      <c r="D22" s="156" t="s">
        <v>1301</v>
      </c>
      <c r="E22" s="156"/>
      <c r="F22" s="156" t="s">
        <v>1695</v>
      </c>
      <c r="G22" s="157">
        <v>44298</v>
      </c>
      <c r="H22" s="158" t="s">
        <v>1917</v>
      </c>
      <c r="I22" s="158" t="s">
        <v>1968</v>
      </c>
      <c r="J22" s="156" t="s">
        <v>2136</v>
      </c>
      <c r="K22" s="156" t="s">
        <v>2151</v>
      </c>
      <c r="L22" s="156" t="s">
        <v>2165</v>
      </c>
      <c r="M22" s="156">
        <v>15</v>
      </c>
      <c r="N22" s="159">
        <v>1015500</v>
      </c>
      <c r="O22" s="160">
        <v>1</v>
      </c>
      <c r="P22" s="160">
        <v>879424</v>
      </c>
      <c r="Q22" s="160">
        <v>5670</v>
      </c>
      <c r="R22" s="159">
        <v>862415</v>
      </c>
      <c r="S22" s="157"/>
      <c r="T22" s="157"/>
      <c r="U22" s="161">
        <v>0</v>
      </c>
      <c r="V22" s="158" t="s">
        <v>852</v>
      </c>
      <c r="W22" s="158" t="s">
        <v>627</v>
      </c>
      <c r="X22" s="158" t="s">
        <v>2170</v>
      </c>
      <c r="Y22" s="162" t="s">
        <v>2186</v>
      </c>
      <c r="Z22" s="163" t="s">
        <v>2192</v>
      </c>
      <c r="AA22" s="163">
        <v>1</v>
      </c>
      <c r="AB22" s="163">
        <v>1</v>
      </c>
      <c r="AC22" s="101">
        <v>1</v>
      </c>
      <c r="AD22" s="101">
        <v>1</v>
      </c>
      <c r="AE22" s="101" t="s">
        <v>2201</v>
      </c>
      <c r="AF22" s="102" t="str">
        <f>IF(ISERROR(VLOOKUP(AE22,小分類・セグメント!$A:$C,3,FALSE)),"",VLOOKUP(AE22,小分類・セグメント!$A:$C,3,FALSE))</f>
        <v>ECD</v>
      </c>
      <c r="AG22" s="103" t="str">
        <f>IF(ISERROR(VLOOKUP(AE22,小細分類・事業部マスタ!$E:$H,4,FALSE)),"",VLOOKUP(AE22,小細分類・事業部マスタ!$E:$H,4,FALSE))</f>
        <v>パワーデバイス事業部</v>
      </c>
      <c r="AH22" s="101" t="s">
        <v>2170</v>
      </c>
      <c r="AI22" s="104">
        <f>IF(ISERROR(VLOOKUP(AJ22,設置場所!$A:$B,2,FALSE)),"",VLOOKUP(AJ22,設置場所!$A:$B,2,FALSE))</f>
        <v>900000040</v>
      </c>
      <c r="AJ22" s="101" t="s">
        <v>2192</v>
      </c>
      <c r="AK22" s="101" t="s">
        <v>1331</v>
      </c>
      <c r="AL22" s="101" t="s">
        <v>1336</v>
      </c>
      <c r="AM22" s="101"/>
      <c r="AN22" s="101"/>
      <c r="AO22" s="101"/>
      <c r="AP22" s="101"/>
      <c r="AQ22" s="101"/>
      <c r="AR22" s="105"/>
      <c r="AS22" s="171"/>
    </row>
    <row r="23" spans="1:45">
      <c r="A23" s="131" t="s">
        <v>1224</v>
      </c>
      <c r="B23" s="156" t="s">
        <v>1337</v>
      </c>
      <c r="C23" s="156" t="s">
        <v>1322</v>
      </c>
      <c r="D23" s="156" t="s">
        <v>1300</v>
      </c>
      <c r="E23" s="156"/>
      <c r="F23" s="156" t="s">
        <v>1696</v>
      </c>
      <c r="G23" s="157">
        <v>44377</v>
      </c>
      <c r="H23" s="158" t="s">
        <v>1918</v>
      </c>
      <c r="I23" s="158" t="s">
        <v>1969</v>
      </c>
      <c r="J23" s="156" t="s">
        <v>2137</v>
      </c>
      <c r="K23" s="156" t="s">
        <v>2152</v>
      </c>
      <c r="L23" s="156" t="s">
        <v>2165</v>
      </c>
      <c r="M23" s="156">
        <v>15</v>
      </c>
      <c r="N23" s="159">
        <v>685000</v>
      </c>
      <c r="O23" s="160">
        <v>1</v>
      </c>
      <c r="P23" s="160">
        <v>600860</v>
      </c>
      <c r="Q23" s="160">
        <v>3824</v>
      </c>
      <c r="R23" s="159">
        <v>589387</v>
      </c>
      <c r="S23" s="157"/>
      <c r="T23" s="157"/>
      <c r="U23" s="161">
        <v>0</v>
      </c>
      <c r="V23" s="158" t="s">
        <v>852</v>
      </c>
      <c r="W23" s="158" t="s">
        <v>627</v>
      </c>
      <c r="X23" s="158"/>
      <c r="Y23" s="162" t="s">
        <v>2185</v>
      </c>
      <c r="Z23" s="163" t="s">
        <v>2191</v>
      </c>
      <c r="AA23" s="163">
        <v>1</v>
      </c>
      <c r="AB23" s="163">
        <v>1</v>
      </c>
      <c r="AC23" s="101">
        <v>1</v>
      </c>
      <c r="AD23" s="101">
        <v>1</v>
      </c>
      <c r="AE23" s="101" t="s">
        <v>2201</v>
      </c>
      <c r="AF23" s="102" t="str">
        <f>IF(ISERROR(VLOOKUP(AE23,小分類・セグメント!$A:$C,3,FALSE)),"",VLOOKUP(AE23,小分類・セグメント!$A:$C,3,FALSE))</f>
        <v>ECD</v>
      </c>
      <c r="AG23" s="103" t="str">
        <f>IF(ISERROR(VLOOKUP(AE23,小細分類・事業部マスタ!$E:$H,4,FALSE)),"",VLOOKUP(AE23,小細分類・事業部マスタ!$E:$H,4,FALSE))</f>
        <v>パワーデバイス事業部</v>
      </c>
      <c r="AH23" s="101" t="s">
        <v>2170</v>
      </c>
      <c r="AI23" s="104">
        <f>IF(ISERROR(VLOOKUP(AJ23,設置場所!$A:$B,2,FALSE)),"",VLOOKUP(AJ23,設置場所!$A:$B,2,FALSE))</f>
        <v>900000030</v>
      </c>
      <c r="AJ23" s="101" t="s">
        <v>2191</v>
      </c>
      <c r="AK23" s="101" t="s">
        <v>1331</v>
      </c>
      <c r="AL23" s="101" t="s">
        <v>1336</v>
      </c>
      <c r="AM23" s="101"/>
      <c r="AN23" s="101"/>
      <c r="AO23" s="101"/>
      <c r="AP23" s="101"/>
      <c r="AQ23" s="101"/>
      <c r="AR23" s="105"/>
      <c r="AS23" s="171"/>
    </row>
    <row r="24" spans="1:45">
      <c r="A24" s="131" t="s">
        <v>1224</v>
      </c>
      <c r="B24" s="156" t="s">
        <v>1337</v>
      </c>
      <c r="C24" s="156" t="s">
        <v>1322</v>
      </c>
      <c r="D24" s="156" t="s">
        <v>1299</v>
      </c>
      <c r="E24" s="156"/>
      <c r="F24" s="156" t="s">
        <v>1697</v>
      </c>
      <c r="G24" s="157">
        <v>44377</v>
      </c>
      <c r="H24" s="158" t="s">
        <v>1919</v>
      </c>
      <c r="I24" s="158" t="s">
        <v>1970</v>
      </c>
      <c r="J24" s="156" t="s">
        <v>2137</v>
      </c>
      <c r="K24" s="156" t="s">
        <v>2152</v>
      </c>
      <c r="L24" s="156" t="s">
        <v>2165</v>
      </c>
      <c r="M24" s="156">
        <v>15</v>
      </c>
      <c r="N24" s="159">
        <v>330000</v>
      </c>
      <c r="O24" s="160">
        <v>1</v>
      </c>
      <c r="P24" s="160">
        <v>289465</v>
      </c>
      <c r="Q24" s="160">
        <v>1842</v>
      </c>
      <c r="R24" s="159">
        <v>283938</v>
      </c>
      <c r="S24" s="157"/>
      <c r="T24" s="157"/>
      <c r="U24" s="161">
        <v>0</v>
      </c>
      <c r="V24" s="158" t="s">
        <v>852</v>
      </c>
      <c r="W24" s="158" t="s">
        <v>627</v>
      </c>
      <c r="X24" s="158"/>
      <c r="Y24" s="162" t="s">
        <v>2185</v>
      </c>
      <c r="Z24" s="163" t="s">
        <v>2191</v>
      </c>
      <c r="AA24" s="163">
        <v>1</v>
      </c>
      <c r="AB24" s="163">
        <v>1</v>
      </c>
      <c r="AC24" s="101">
        <v>1</v>
      </c>
      <c r="AD24" s="101">
        <v>1</v>
      </c>
      <c r="AE24" s="101" t="s">
        <v>2201</v>
      </c>
      <c r="AF24" s="102" t="str">
        <f>IF(ISERROR(VLOOKUP(AE24,小分類・セグメント!$A:$C,3,FALSE)),"",VLOOKUP(AE24,小分類・セグメント!$A:$C,3,FALSE))</f>
        <v>ECD</v>
      </c>
      <c r="AG24" s="103" t="str">
        <f>IF(ISERROR(VLOOKUP(AE24,小細分類・事業部マスタ!$E:$H,4,FALSE)),"",VLOOKUP(AE24,小細分類・事業部マスタ!$E:$H,4,FALSE))</f>
        <v>パワーデバイス事業部</v>
      </c>
      <c r="AH24" s="101" t="s">
        <v>2170</v>
      </c>
      <c r="AI24" s="104">
        <f>IF(ISERROR(VLOOKUP(AJ24,設置場所!$A:$B,2,FALSE)),"",VLOOKUP(AJ24,設置場所!$A:$B,2,FALSE))</f>
        <v>900000030</v>
      </c>
      <c r="AJ24" s="101" t="s">
        <v>2191</v>
      </c>
      <c r="AK24" s="101" t="s">
        <v>1331</v>
      </c>
      <c r="AL24" s="101" t="s">
        <v>1336</v>
      </c>
      <c r="AM24" s="101"/>
      <c r="AN24" s="101"/>
      <c r="AO24" s="101"/>
      <c r="AP24" s="101"/>
      <c r="AQ24" s="101"/>
      <c r="AR24" s="105"/>
      <c r="AS24" s="171"/>
    </row>
    <row r="25" spans="1:45">
      <c r="A25" s="131" t="s">
        <v>1224</v>
      </c>
      <c r="B25" s="156" t="s">
        <v>1337</v>
      </c>
      <c r="C25" s="156" t="s">
        <v>1322</v>
      </c>
      <c r="D25" s="156" t="s">
        <v>1298</v>
      </c>
      <c r="E25" s="156"/>
      <c r="F25" s="156" t="s">
        <v>1698</v>
      </c>
      <c r="G25" s="157">
        <v>44439</v>
      </c>
      <c r="H25" s="158" t="s">
        <v>1913</v>
      </c>
      <c r="I25" s="158" t="s">
        <v>1971</v>
      </c>
      <c r="J25" s="156" t="s">
        <v>2140</v>
      </c>
      <c r="K25" s="156" t="s">
        <v>2155</v>
      </c>
      <c r="L25" s="156" t="s">
        <v>2165</v>
      </c>
      <c r="M25" s="156">
        <v>15</v>
      </c>
      <c r="N25" s="159">
        <v>4121000</v>
      </c>
      <c r="O25" s="160">
        <v>1</v>
      </c>
      <c r="P25" s="160">
        <v>3660822</v>
      </c>
      <c r="Q25" s="160">
        <v>23009</v>
      </c>
      <c r="R25" s="159">
        <v>3591796</v>
      </c>
      <c r="S25" s="157"/>
      <c r="T25" s="157"/>
      <c r="U25" s="161">
        <v>0</v>
      </c>
      <c r="V25" s="158" t="s">
        <v>852</v>
      </c>
      <c r="W25" s="158" t="s">
        <v>627</v>
      </c>
      <c r="X25" s="158"/>
      <c r="Y25" s="162" t="s">
        <v>2185</v>
      </c>
      <c r="Z25" s="163" t="s">
        <v>2191</v>
      </c>
      <c r="AA25" s="163">
        <v>1</v>
      </c>
      <c r="AB25" s="163">
        <v>1</v>
      </c>
      <c r="AC25" s="101">
        <v>1</v>
      </c>
      <c r="AD25" s="101">
        <v>1</v>
      </c>
      <c r="AE25" s="101" t="s">
        <v>2201</v>
      </c>
      <c r="AF25" s="102" t="str">
        <f>IF(ISERROR(VLOOKUP(AE25,小分類・セグメント!$A:$C,3,FALSE)),"",VLOOKUP(AE25,小分類・セグメント!$A:$C,3,FALSE))</f>
        <v>ECD</v>
      </c>
      <c r="AG25" s="103" t="str">
        <f>IF(ISERROR(VLOOKUP(AE25,小細分類・事業部マスタ!$E:$H,4,FALSE)),"",VLOOKUP(AE25,小細分類・事業部マスタ!$E:$H,4,FALSE))</f>
        <v>パワーデバイス事業部</v>
      </c>
      <c r="AH25" s="101" t="s">
        <v>2173</v>
      </c>
      <c r="AI25" s="104">
        <f>IF(ISERROR(VLOOKUP(AJ25,設置場所!$A:$B,2,FALSE)),"",VLOOKUP(AJ25,設置場所!$A:$B,2,FALSE))</f>
        <v>900000030</v>
      </c>
      <c r="AJ25" s="101" t="s">
        <v>2191</v>
      </c>
      <c r="AK25" s="101" t="s">
        <v>1331</v>
      </c>
      <c r="AL25" s="101" t="s">
        <v>1336</v>
      </c>
      <c r="AM25" s="101"/>
      <c r="AN25" s="101"/>
      <c r="AO25" s="101"/>
      <c r="AP25" s="101"/>
      <c r="AQ25" s="101"/>
      <c r="AR25" s="105"/>
      <c r="AS25" s="171"/>
    </row>
    <row r="26" spans="1:45">
      <c r="A26" s="131" t="s">
        <v>1224</v>
      </c>
      <c r="B26" s="156" t="s">
        <v>1337</v>
      </c>
      <c r="C26" s="156" t="s">
        <v>1322</v>
      </c>
      <c r="D26" s="156" t="s">
        <v>1297</v>
      </c>
      <c r="E26" s="156"/>
      <c r="F26" s="156" t="s">
        <v>1699</v>
      </c>
      <c r="G26" s="157">
        <v>44439</v>
      </c>
      <c r="H26" s="158" t="s">
        <v>1913</v>
      </c>
      <c r="I26" s="158" t="s">
        <v>1971</v>
      </c>
      <c r="J26" s="156" t="s">
        <v>2140</v>
      </c>
      <c r="K26" s="156" t="s">
        <v>2155</v>
      </c>
      <c r="L26" s="156" t="s">
        <v>2165</v>
      </c>
      <c r="M26" s="156">
        <v>15</v>
      </c>
      <c r="N26" s="159">
        <v>786000</v>
      </c>
      <c r="O26" s="160">
        <v>1</v>
      </c>
      <c r="P26" s="160">
        <v>698230</v>
      </c>
      <c r="Q26" s="160">
        <v>4388</v>
      </c>
      <c r="R26" s="159">
        <v>685065</v>
      </c>
      <c r="S26" s="157"/>
      <c r="T26" s="157"/>
      <c r="U26" s="161">
        <v>0</v>
      </c>
      <c r="V26" s="158" t="s">
        <v>852</v>
      </c>
      <c r="W26" s="158" t="s">
        <v>627</v>
      </c>
      <c r="X26" s="158"/>
      <c r="Y26" s="162" t="s">
        <v>2185</v>
      </c>
      <c r="Z26" s="163" t="s">
        <v>2191</v>
      </c>
      <c r="AA26" s="163">
        <v>1</v>
      </c>
      <c r="AB26" s="163">
        <v>1</v>
      </c>
      <c r="AC26" s="101">
        <v>1</v>
      </c>
      <c r="AD26" s="101">
        <v>1</v>
      </c>
      <c r="AE26" s="101" t="s">
        <v>2201</v>
      </c>
      <c r="AF26" s="102" t="str">
        <f>IF(ISERROR(VLOOKUP(AE26,小分類・セグメント!$A:$C,3,FALSE)),"",VLOOKUP(AE26,小分類・セグメント!$A:$C,3,FALSE))</f>
        <v>ECD</v>
      </c>
      <c r="AG26" s="103" t="str">
        <f>IF(ISERROR(VLOOKUP(AE26,小細分類・事業部マスタ!$E:$H,4,FALSE)),"",VLOOKUP(AE26,小細分類・事業部マスタ!$E:$H,4,FALSE))</f>
        <v>パワーデバイス事業部</v>
      </c>
      <c r="AH26" s="101" t="s">
        <v>2173</v>
      </c>
      <c r="AI26" s="104">
        <f>IF(ISERROR(VLOOKUP(AJ26,設置場所!$A:$B,2,FALSE)),"",VLOOKUP(AJ26,設置場所!$A:$B,2,FALSE))</f>
        <v>900000030</v>
      </c>
      <c r="AJ26" s="101" t="s">
        <v>2191</v>
      </c>
      <c r="AK26" s="101" t="s">
        <v>1331</v>
      </c>
      <c r="AL26" s="101" t="s">
        <v>1336</v>
      </c>
      <c r="AM26" s="101"/>
      <c r="AN26" s="101"/>
      <c r="AO26" s="101"/>
      <c r="AP26" s="101"/>
      <c r="AQ26" s="101"/>
      <c r="AR26" s="105"/>
      <c r="AS26" s="171"/>
    </row>
    <row r="27" spans="1:45">
      <c r="A27" s="131" t="s">
        <v>1224</v>
      </c>
      <c r="B27" s="156" t="s">
        <v>1337</v>
      </c>
      <c r="C27" s="156" t="s">
        <v>1322</v>
      </c>
      <c r="D27" s="156" t="s">
        <v>1296</v>
      </c>
      <c r="E27" s="156"/>
      <c r="F27" s="156" t="s">
        <v>1700</v>
      </c>
      <c r="G27" s="157">
        <v>44439</v>
      </c>
      <c r="H27" s="158" t="s">
        <v>1913</v>
      </c>
      <c r="I27" s="158" t="s">
        <v>1971</v>
      </c>
      <c r="J27" s="156" t="s">
        <v>2140</v>
      </c>
      <c r="K27" s="156" t="s">
        <v>2155</v>
      </c>
      <c r="L27" s="156" t="s">
        <v>2165</v>
      </c>
      <c r="M27" s="156">
        <v>15</v>
      </c>
      <c r="N27" s="159">
        <v>993000</v>
      </c>
      <c r="O27" s="160">
        <v>1</v>
      </c>
      <c r="P27" s="160">
        <v>882115</v>
      </c>
      <c r="Q27" s="160">
        <v>5544</v>
      </c>
      <c r="R27" s="159">
        <v>865483</v>
      </c>
      <c r="S27" s="157"/>
      <c r="T27" s="157"/>
      <c r="U27" s="161">
        <v>0</v>
      </c>
      <c r="V27" s="158" t="s">
        <v>852</v>
      </c>
      <c r="W27" s="158" t="s">
        <v>627</v>
      </c>
      <c r="X27" s="158"/>
      <c r="Y27" s="162" t="s">
        <v>2185</v>
      </c>
      <c r="Z27" s="163" t="s">
        <v>2191</v>
      </c>
      <c r="AA27" s="163">
        <v>1</v>
      </c>
      <c r="AB27" s="163">
        <v>1</v>
      </c>
      <c r="AC27" s="101">
        <v>1</v>
      </c>
      <c r="AD27" s="101">
        <v>1</v>
      </c>
      <c r="AE27" s="101" t="s">
        <v>2201</v>
      </c>
      <c r="AF27" s="102" t="str">
        <f>IF(ISERROR(VLOOKUP(AE27,小分類・セグメント!$A:$C,3,FALSE)),"",VLOOKUP(AE27,小分類・セグメント!$A:$C,3,FALSE))</f>
        <v>ECD</v>
      </c>
      <c r="AG27" s="103" t="str">
        <f>IF(ISERROR(VLOOKUP(AE27,小細分類・事業部マスタ!$E:$H,4,FALSE)),"",VLOOKUP(AE27,小細分類・事業部マスタ!$E:$H,4,FALSE))</f>
        <v>パワーデバイス事業部</v>
      </c>
      <c r="AH27" s="101" t="s">
        <v>2173</v>
      </c>
      <c r="AI27" s="104">
        <f>IF(ISERROR(VLOOKUP(AJ27,設置場所!$A:$B,2,FALSE)),"",VLOOKUP(AJ27,設置場所!$A:$B,2,FALSE))</f>
        <v>900000030</v>
      </c>
      <c r="AJ27" s="101" t="s">
        <v>2191</v>
      </c>
      <c r="AK27" s="101" t="s">
        <v>1331</v>
      </c>
      <c r="AL27" s="101" t="s">
        <v>1336</v>
      </c>
      <c r="AM27" s="101"/>
      <c r="AN27" s="101"/>
      <c r="AO27" s="101"/>
      <c r="AP27" s="101"/>
      <c r="AQ27" s="101"/>
      <c r="AR27" s="105"/>
      <c r="AS27" s="171"/>
    </row>
    <row r="28" spans="1:45">
      <c r="A28" s="131" t="s">
        <v>1224</v>
      </c>
      <c r="B28" s="156" t="s">
        <v>1337</v>
      </c>
      <c r="C28" s="156" t="s">
        <v>1322</v>
      </c>
      <c r="D28" s="156" t="s">
        <v>1295</v>
      </c>
      <c r="E28" s="156"/>
      <c r="F28" s="156" t="s">
        <v>1701</v>
      </c>
      <c r="G28" s="157">
        <v>44439</v>
      </c>
      <c r="H28" s="158" t="s">
        <v>1919</v>
      </c>
      <c r="I28" s="158" t="s">
        <v>1972</v>
      </c>
      <c r="J28" s="156" t="s">
        <v>2137</v>
      </c>
      <c r="K28" s="156" t="s">
        <v>2152</v>
      </c>
      <c r="L28" s="156" t="s">
        <v>2165</v>
      </c>
      <c r="M28" s="156">
        <v>15</v>
      </c>
      <c r="N28" s="159">
        <v>7150000</v>
      </c>
      <c r="O28" s="160">
        <v>1</v>
      </c>
      <c r="P28" s="160">
        <v>6351584</v>
      </c>
      <c r="Q28" s="160">
        <v>39921</v>
      </c>
      <c r="R28" s="159">
        <v>6231822</v>
      </c>
      <c r="S28" s="157"/>
      <c r="T28" s="157"/>
      <c r="U28" s="161">
        <v>0</v>
      </c>
      <c r="V28" s="158" t="s">
        <v>852</v>
      </c>
      <c r="W28" s="158" t="s">
        <v>627</v>
      </c>
      <c r="X28" s="158"/>
      <c r="Y28" s="162" t="s">
        <v>2185</v>
      </c>
      <c r="Z28" s="163" t="s">
        <v>2191</v>
      </c>
      <c r="AA28" s="163">
        <v>1</v>
      </c>
      <c r="AB28" s="163">
        <v>1</v>
      </c>
      <c r="AC28" s="101">
        <v>1</v>
      </c>
      <c r="AD28" s="101">
        <v>1</v>
      </c>
      <c r="AE28" s="101" t="s">
        <v>2201</v>
      </c>
      <c r="AF28" s="102" t="str">
        <f>IF(ISERROR(VLOOKUP(AE28,小分類・セグメント!$A:$C,3,FALSE)),"",VLOOKUP(AE28,小分類・セグメント!$A:$C,3,FALSE))</f>
        <v>ECD</v>
      </c>
      <c r="AG28" s="103" t="str">
        <f>IF(ISERROR(VLOOKUP(AE28,小細分類・事業部マスタ!$E:$H,4,FALSE)),"",VLOOKUP(AE28,小細分類・事業部マスタ!$E:$H,4,FALSE))</f>
        <v>パワーデバイス事業部</v>
      </c>
      <c r="AH28" s="101" t="s">
        <v>2173</v>
      </c>
      <c r="AI28" s="104">
        <f>IF(ISERROR(VLOOKUP(AJ28,設置場所!$A:$B,2,FALSE)),"",VLOOKUP(AJ28,設置場所!$A:$B,2,FALSE))</f>
        <v>900000030</v>
      </c>
      <c r="AJ28" s="101" t="s">
        <v>2191</v>
      </c>
      <c r="AK28" s="101" t="s">
        <v>1331</v>
      </c>
      <c r="AL28" s="101" t="s">
        <v>1336</v>
      </c>
      <c r="AM28" s="101"/>
      <c r="AN28" s="101"/>
      <c r="AO28" s="101"/>
      <c r="AP28" s="101"/>
      <c r="AQ28" s="101"/>
      <c r="AR28" s="105"/>
      <c r="AS28" s="171"/>
    </row>
    <row r="29" spans="1:45">
      <c r="A29" s="131" t="s">
        <v>1224</v>
      </c>
      <c r="B29" s="156" t="s">
        <v>1337</v>
      </c>
      <c r="C29" s="156" t="s">
        <v>1322</v>
      </c>
      <c r="D29" s="156" t="s">
        <v>1376</v>
      </c>
      <c r="E29" s="156"/>
      <c r="F29" s="156" t="s">
        <v>1702</v>
      </c>
      <c r="G29" s="157">
        <v>44469</v>
      </c>
      <c r="H29" s="158" t="s">
        <v>1913</v>
      </c>
      <c r="I29" s="158" t="s">
        <v>1973</v>
      </c>
      <c r="J29" s="156" t="s">
        <v>2136</v>
      </c>
      <c r="K29" s="156" t="s">
        <v>2151</v>
      </c>
      <c r="L29" s="156" t="s">
        <v>2165</v>
      </c>
      <c r="M29" s="156">
        <v>10</v>
      </c>
      <c r="N29" s="159">
        <v>24500000</v>
      </c>
      <c r="O29" s="160">
        <v>1</v>
      </c>
      <c r="P29" s="160">
        <v>20620834</v>
      </c>
      <c r="Q29" s="160">
        <v>204167</v>
      </c>
      <c r="R29" s="159">
        <v>20008334</v>
      </c>
      <c r="S29" s="157"/>
      <c r="T29" s="157"/>
      <c r="U29" s="161">
        <v>0</v>
      </c>
      <c r="V29" s="158" t="s">
        <v>852</v>
      </c>
      <c r="W29" s="158" t="s">
        <v>627</v>
      </c>
      <c r="X29" s="158"/>
      <c r="Y29" s="162" t="s">
        <v>2185</v>
      </c>
      <c r="Z29" s="163" t="s">
        <v>2191</v>
      </c>
      <c r="AA29" s="163">
        <v>1</v>
      </c>
      <c r="AB29" s="163">
        <v>1</v>
      </c>
      <c r="AC29" s="101">
        <v>1</v>
      </c>
      <c r="AD29" s="101">
        <v>1</v>
      </c>
      <c r="AE29" s="101" t="s">
        <v>2201</v>
      </c>
      <c r="AF29" s="102" t="str">
        <f>IF(ISERROR(VLOOKUP(AE29,小分類・セグメント!$A:$C,3,FALSE)),"",VLOOKUP(AE29,小分類・セグメント!$A:$C,3,FALSE))</f>
        <v>ECD</v>
      </c>
      <c r="AG29" s="103" t="str">
        <f>IF(ISERROR(VLOOKUP(AE29,小細分類・事業部マスタ!$E:$H,4,FALSE)),"",VLOOKUP(AE29,小細分類・事業部マスタ!$E:$H,4,FALSE))</f>
        <v>パワーデバイス事業部</v>
      </c>
      <c r="AH29" s="101" t="s">
        <v>2170</v>
      </c>
      <c r="AI29" s="104">
        <f>IF(ISERROR(VLOOKUP(AJ29,設置場所!$A:$B,2,FALSE)),"",VLOOKUP(AJ29,設置場所!$A:$B,2,FALSE))</f>
        <v>900000030</v>
      </c>
      <c r="AJ29" s="101" t="s">
        <v>2191</v>
      </c>
      <c r="AK29" s="101" t="s">
        <v>1331</v>
      </c>
      <c r="AL29" s="101" t="s">
        <v>1336</v>
      </c>
      <c r="AM29" s="101"/>
      <c r="AN29" s="101"/>
      <c r="AO29" s="101"/>
      <c r="AP29" s="101"/>
      <c r="AQ29" s="101"/>
      <c r="AR29" s="105"/>
      <c r="AS29" s="171"/>
    </row>
    <row r="30" spans="1:45">
      <c r="A30" s="131" t="s">
        <v>1224</v>
      </c>
      <c r="B30" s="156" t="s">
        <v>1337</v>
      </c>
      <c r="C30" s="156" t="s">
        <v>1322</v>
      </c>
      <c r="D30" s="156" t="s">
        <v>1377</v>
      </c>
      <c r="E30" s="156"/>
      <c r="F30" s="156" t="s">
        <v>1703</v>
      </c>
      <c r="G30" s="157">
        <v>44469</v>
      </c>
      <c r="H30" s="158" t="s">
        <v>1913</v>
      </c>
      <c r="I30" s="158" t="s">
        <v>1973</v>
      </c>
      <c r="J30" s="156" t="s">
        <v>2136</v>
      </c>
      <c r="K30" s="156" t="s">
        <v>2151</v>
      </c>
      <c r="L30" s="156" t="s">
        <v>2165</v>
      </c>
      <c r="M30" s="156">
        <v>10</v>
      </c>
      <c r="N30" s="159">
        <v>12250000</v>
      </c>
      <c r="O30" s="160">
        <v>1</v>
      </c>
      <c r="P30" s="160">
        <v>10310417</v>
      </c>
      <c r="Q30" s="160">
        <v>102084</v>
      </c>
      <c r="R30" s="159">
        <v>10004167</v>
      </c>
      <c r="S30" s="157"/>
      <c r="T30" s="157"/>
      <c r="U30" s="161">
        <v>0</v>
      </c>
      <c r="V30" s="158" t="s">
        <v>852</v>
      </c>
      <c r="W30" s="158" t="s">
        <v>627</v>
      </c>
      <c r="X30" s="158"/>
      <c r="Y30" s="162" t="s">
        <v>2185</v>
      </c>
      <c r="Z30" s="163" t="s">
        <v>2191</v>
      </c>
      <c r="AA30" s="163">
        <v>1</v>
      </c>
      <c r="AB30" s="163">
        <v>1</v>
      </c>
      <c r="AC30" s="101">
        <v>1</v>
      </c>
      <c r="AD30" s="101">
        <v>1</v>
      </c>
      <c r="AE30" s="101" t="s">
        <v>2201</v>
      </c>
      <c r="AF30" s="102" t="str">
        <f>IF(ISERROR(VLOOKUP(AE30,小分類・セグメント!$A:$C,3,FALSE)),"",VLOOKUP(AE30,小分類・セグメント!$A:$C,3,FALSE))</f>
        <v>ECD</v>
      </c>
      <c r="AG30" s="103" t="str">
        <f>IF(ISERROR(VLOOKUP(AE30,小細分類・事業部マスタ!$E:$H,4,FALSE)),"",VLOOKUP(AE30,小細分類・事業部マスタ!$E:$H,4,FALSE))</f>
        <v>パワーデバイス事業部</v>
      </c>
      <c r="AH30" s="101" t="s">
        <v>2170</v>
      </c>
      <c r="AI30" s="104">
        <f>IF(ISERROR(VLOOKUP(AJ30,設置場所!$A:$B,2,FALSE)),"",VLOOKUP(AJ30,設置場所!$A:$B,2,FALSE))</f>
        <v>900000030</v>
      </c>
      <c r="AJ30" s="101" t="s">
        <v>2191</v>
      </c>
      <c r="AK30" s="101" t="s">
        <v>1331</v>
      </c>
      <c r="AL30" s="101" t="s">
        <v>1336</v>
      </c>
      <c r="AM30" s="101"/>
      <c r="AN30" s="101"/>
      <c r="AO30" s="101"/>
      <c r="AP30" s="101"/>
      <c r="AQ30" s="101"/>
      <c r="AR30" s="105"/>
      <c r="AS30" s="171"/>
    </row>
    <row r="31" spans="1:45">
      <c r="A31" s="131" t="s">
        <v>1224</v>
      </c>
      <c r="B31" s="156" t="s">
        <v>1337</v>
      </c>
      <c r="C31" s="156" t="s">
        <v>1322</v>
      </c>
      <c r="D31" s="156" t="s">
        <v>1378</v>
      </c>
      <c r="E31" s="156"/>
      <c r="F31" s="156" t="s">
        <v>1704</v>
      </c>
      <c r="G31" s="157">
        <v>44469</v>
      </c>
      <c r="H31" s="158" t="s">
        <v>1913</v>
      </c>
      <c r="I31" s="158" t="s">
        <v>1973</v>
      </c>
      <c r="J31" s="156" t="s">
        <v>2136</v>
      </c>
      <c r="K31" s="156" t="s">
        <v>2151</v>
      </c>
      <c r="L31" s="156" t="s">
        <v>2165</v>
      </c>
      <c r="M31" s="156">
        <v>10</v>
      </c>
      <c r="N31" s="159">
        <v>12250000</v>
      </c>
      <c r="O31" s="160">
        <v>1</v>
      </c>
      <c r="P31" s="160">
        <v>10310417</v>
      </c>
      <c r="Q31" s="160">
        <v>102084</v>
      </c>
      <c r="R31" s="159">
        <v>10004167</v>
      </c>
      <c r="S31" s="157"/>
      <c r="T31" s="157"/>
      <c r="U31" s="161">
        <v>0</v>
      </c>
      <c r="V31" s="158" t="s">
        <v>852</v>
      </c>
      <c r="W31" s="158" t="s">
        <v>627</v>
      </c>
      <c r="X31" s="158"/>
      <c r="Y31" s="162" t="s">
        <v>2185</v>
      </c>
      <c r="Z31" s="163" t="s">
        <v>2191</v>
      </c>
      <c r="AA31" s="163">
        <v>1</v>
      </c>
      <c r="AB31" s="163">
        <v>1</v>
      </c>
      <c r="AC31" s="101">
        <v>1</v>
      </c>
      <c r="AD31" s="101">
        <v>1</v>
      </c>
      <c r="AE31" s="101" t="s">
        <v>2201</v>
      </c>
      <c r="AF31" s="102" t="str">
        <f>IF(ISERROR(VLOOKUP(AE31,小分類・セグメント!$A:$C,3,FALSE)),"",VLOOKUP(AE31,小分類・セグメント!$A:$C,3,FALSE))</f>
        <v>ECD</v>
      </c>
      <c r="AG31" s="103" t="str">
        <f>IF(ISERROR(VLOOKUP(AE31,小細分類・事業部マスタ!$E:$H,4,FALSE)),"",VLOOKUP(AE31,小細分類・事業部マスタ!$E:$H,4,FALSE))</f>
        <v>パワーデバイス事業部</v>
      </c>
      <c r="AH31" s="101" t="s">
        <v>2170</v>
      </c>
      <c r="AI31" s="104">
        <f>IF(ISERROR(VLOOKUP(AJ31,設置場所!$A:$B,2,FALSE)),"",VLOOKUP(AJ31,設置場所!$A:$B,2,FALSE))</f>
        <v>900000030</v>
      </c>
      <c r="AJ31" s="101" t="s">
        <v>2191</v>
      </c>
      <c r="AK31" s="101" t="s">
        <v>1331</v>
      </c>
      <c r="AL31" s="101" t="s">
        <v>1336</v>
      </c>
      <c r="AM31" s="101"/>
      <c r="AN31" s="101"/>
      <c r="AO31" s="101"/>
      <c r="AP31" s="101"/>
      <c r="AQ31" s="101"/>
      <c r="AR31" s="105"/>
      <c r="AS31" s="171"/>
    </row>
    <row r="32" spans="1:45">
      <c r="A32" s="131" t="s">
        <v>1224</v>
      </c>
      <c r="B32" s="156" t="s">
        <v>1337</v>
      </c>
      <c r="C32" s="156" t="s">
        <v>1322</v>
      </c>
      <c r="D32" s="156" t="s">
        <v>1379</v>
      </c>
      <c r="E32" s="156"/>
      <c r="F32" s="156" t="s">
        <v>1705</v>
      </c>
      <c r="G32" s="157">
        <v>44500</v>
      </c>
      <c r="H32" s="158" t="s">
        <v>1920</v>
      </c>
      <c r="I32" s="158" t="s">
        <v>1974</v>
      </c>
      <c r="J32" s="156" t="s">
        <v>2140</v>
      </c>
      <c r="K32" s="156" t="s">
        <v>2155</v>
      </c>
      <c r="L32" s="156" t="s">
        <v>2165</v>
      </c>
      <c r="M32" s="156">
        <v>15</v>
      </c>
      <c r="N32" s="159">
        <v>2672696</v>
      </c>
      <c r="O32" s="160">
        <v>1</v>
      </c>
      <c r="P32" s="160">
        <v>2404091</v>
      </c>
      <c r="Q32" s="160">
        <v>14922</v>
      </c>
      <c r="R32" s="159">
        <v>2359324</v>
      </c>
      <c r="S32" s="157"/>
      <c r="T32" s="157"/>
      <c r="U32" s="161">
        <v>0</v>
      </c>
      <c r="V32" s="158" t="s">
        <v>852</v>
      </c>
      <c r="W32" s="158" t="s">
        <v>905</v>
      </c>
      <c r="X32" s="158" t="s">
        <v>2173</v>
      </c>
      <c r="Y32" s="162" t="s">
        <v>2185</v>
      </c>
      <c r="Z32" s="163" t="s">
        <v>2191</v>
      </c>
      <c r="AA32" s="163">
        <v>1</v>
      </c>
      <c r="AB32" s="163">
        <v>1</v>
      </c>
      <c r="AC32" s="101">
        <v>1</v>
      </c>
      <c r="AD32" s="101">
        <v>1</v>
      </c>
      <c r="AE32" s="101" t="s">
        <v>2201</v>
      </c>
      <c r="AF32" s="102" t="str">
        <f>IF(ISERROR(VLOOKUP(AE32,小分類・セグメント!$A:$C,3,FALSE)),"",VLOOKUP(AE32,小分類・セグメント!$A:$C,3,FALSE))</f>
        <v>ECD</v>
      </c>
      <c r="AG32" s="103" t="str">
        <f>IF(ISERROR(VLOOKUP(AE32,小細分類・事業部マスタ!$E:$H,4,FALSE)),"",VLOOKUP(AE32,小細分類・事業部マスタ!$E:$H,4,FALSE))</f>
        <v>パワーデバイス事業部</v>
      </c>
      <c r="AH32" s="101" t="s">
        <v>2173</v>
      </c>
      <c r="AI32" s="104">
        <f>IF(ISERROR(VLOOKUP(AJ32,設置場所!$A:$B,2,FALSE)),"",VLOOKUP(AJ32,設置場所!$A:$B,2,FALSE))</f>
        <v>900000030</v>
      </c>
      <c r="AJ32" s="101" t="s">
        <v>2191</v>
      </c>
      <c r="AK32" s="101" t="s">
        <v>1331</v>
      </c>
      <c r="AL32" s="101" t="s">
        <v>1336</v>
      </c>
      <c r="AM32" s="101"/>
      <c r="AN32" s="101"/>
      <c r="AO32" s="101"/>
      <c r="AP32" s="101"/>
      <c r="AQ32" s="101"/>
      <c r="AR32" s="105"/>
      <c r="AS32" s="171"/>
    </row>
    <row r="33" spans="1:45">
      <c r="A33" s="131" t="s">
        <v>1224</v>
      </c>
      <c r="B33" s="156" t="s">
        <v>1337</v>
      </c>
      <c r="C33" s="156" t="s">
        <v>1322</v>
      </c>
      <c r="D33" s="156" t="s">
        <v>1380</v>
      </c>
      <c r="E33" s="156"/>
      <c r="F33" s="156" t="s">
        <v>1706</v>
      </c>
      <c r="G33" s="157">
        <v>44500</v>
      </c>
      <c r="H33" s="158" t="s">
        <v>1915</v>
      </c>
      <c r="I33" s="158" t="s">
        <v>1975</v>
      </c>
      <c r="J33" s="156" t="s">
        <v>2140</v>
      </c>
      <c r="K33" s="156" t="s">
        <v>2155</v>
      </c>
      <c r="L33" s="156" t="s">
        <v>2165</v>
      </c>
      <c r="M33" s="156">
        <v>15</v>
      </c>
      <c r="N33" s="159">
        <v>693041</v>
      </c>
      <c r="O33" s="160">
        <v>1</v>
      </c>
      <c r="P33" s="160">
        <v>623392</v>
      </c>
      <c r="Q33" s="160">
        <v>3870</v>
      </c>
      <c r="R33" s="159">
        <v>611784</v>
      </c>
      <c r="S33" s="157"/>
      <c r="T33" s="157"/>
      <c r="U33" s="161">
        <v>0</v>
      </c>
      <c r="V33" s="158" t="s">
        <v>852</v>
      </c>
      <c r="W33" s="158" t="s">
        <v>905</v>
      </c>
      <c r="X33" s="158" t="s">
        <v>2173</v>
      </c>
      <c r="Y33" s="162" t="s">
        <v>2185</v>
      </c>
      <c r="Z33" s="163" t="s">
        <v>2191</v>
      </c>
      <c r="AA33" s="163">
        <v>1</v>
      </c>
      <c r="AB33" s="163">
        <v>1</v>
      </c>
      <c r="AC33" s="101">
        <v>1</v>
      </c>
      <c r="AD33" s="101">
        <v>1</v>
      </c>
      <c r="AE33" s="101" t="s">
        <v>2201</v>
      </c>
      <c r="AF33" s="102" t="str">
        <f>IF(ISERROR(VLOOKUP(AE33,小分類・セグメント!$A:$C,3,FALSE)),"",VLOOKUP(AE33,小分類・セグメント!$A:$C,3,FALSE))</f>
        <v>ECD</v>
      </c>
      <c r="AG33" s="103" t="str">
        <f>IF(ISERROR(VLOOKUP(AE33,小細分類・事業部マスタ!$E:$H,4,FALSE)),"",VLOOKUP(AE33,小細分類・事業部マスタ!$E:$H,4,FALSE))</f>
        <v>パワーデバイス事業部</v>
      </c>
      <c r="AH33" s="101" t="s">
        <v>2173</v>
      </c>
      <c r="AI33" s="104">
        <f>IF(ISERROR(VLOOKUP(AJ33,設置場所!$A:$B,2,FALSE)),"",VLOOKUP(AJ33,設置場所!$A:$B,2,FALSE))</f>
        <v>900000030</v>
      </c>
      <c r="AJ33" s="101" t="s">
        <v>2191</v>
      </c>
      <c r="AK33" s="101" t="s">
        <v>1331</v>
      </c>
      <c r="AL33" s="101" t="s">
        <v>1336</v>
      </c>
      <c r="AM33" s="101"/>
      <c r="AN33" s="101"/>
      <c r="AO33" s="101"/>
      <c r="AP33" s="101"/>
      <c r="AQ33" s="101"/>
      <c r="AR33" s="105"/>
      <c r="AS33" s="171"/>
    </row>
    <row r="34" spans="1:45">
      <c r="A34" s="131" t="s">
        <v>1224</v>
      </c>
      <c r="B34" s="156" t="s">
        <v>1337</v>
      </c>
      <c r="C34" s="156" t="s">
        <v>1322</v>
      </c>
      <c r="D34" s="156" t="s">
        <v>1381</v>
      </c>
      <c r="E34" s="156"/>
      <c r="F34" s="156" t="s">
        <v>1707</v>
      </c>
      <c r="G34" s="157">
        <v>44500</v>
      </c>
      <c r="H34" s="158" t="s">
        <v>1920</v>
      </c>
      <c r="I34" s="158" t="s">
        <v>1976</v>
      </c>
      <c r="J34" s="156" t="s">
        <v>2137</v>
      </c>
      <c r="K34" s="156" t="s">
        <v>2152</v>
      </c>
      <c r="L34" s="156" t="s">
        <v>2165</v>
      </c>
      <c r="M34" s="156">
        <v>15</v>
      </c>
      <c r="N34" s="159">
        <v>1208000</v>
      </c>
      <c r="O34" s="160">
        <v>1</v>
      </c>
      <c r="P34" s="160">
        <v>1086596</v>
      </c>
      <c r="Q34" s="160">
        <v>6745</v>
      </c>
      <c r="R34" s="159">
        <v>1066362</v>
      </c>
      <c r="S34" s="157"/>
      <c r="T34" s="157"/>
      <c r="U34" s="161">
        <v>0</v>
      </c>
      <c r="V34" s="158" t="s">
        <v>852</v>
      </c>
      <c r="W34" s="158" t="s">
        <v>905</v>
      </c>
      <c r="X34" s="158" t="s">
        <v>2174</v>
      </c>
      <c r="Y34" s="162" t="s">
        <v>2185</v>
      </c>
      <c r="Z34" s="163" t="s">
        <v>2191</v>
      </c>
      <c r="AA34" s="163">
        <v>1</v>
      </c>
      <c r="AB34" s="163">
        <v>1</v>
      </c>
      <c r="AC34" s="101">
        <v>1</v>
      </c>
      <c r="AD34" s="101">
        <v>1</v>
      </c>
      <c r="AE34" s="101" t="s">
        <v>2201</v>
      </c>
      <c r="AF34" s="102" t="str">
        <f>IF(ISERROR(VLOOKUP(AE34,小分類・セグメント!$A:$C,3,FALSE)),"",VLOOKUP(AE34,小分類・セグメント!$A:$C,3,FALSE))</f>
        <v>ECD</v>
      </c>
      <c r="AG34" s="103" t="str">
        <f>IF(ISERROR(VLOOKUP(AE34,小細分類・事業部マスタ!$E:$H,4,FALSE)),"",VLOOKUP(AE34,小細分類・事業部マスタ!$E:$H,4,FALSE))</f>
        <v>パワーデバイス事業部</v>
      </c>
      <c r="AH34" s="101" t="s">
        <v>2174</v>
      </c>
      <c r="AI34" s="104">
        <f>IF(ISERROR(VLOOKUP(AJ34,設置場所!$A:$B,2,FALSE)),"",VLOOKUP(AJ34,設置場所!$A:$B,2,FALSE))</f>
        <v>900000030</v>
      </c>
      <c r="AJ34" s="101" t="s">
        <v>2191</v>
      </c>
      <c r="AK34" s="101" t="s">
        <v>1331</v>
      </c>
      <c r="AL34" s="101" t="s">
        <v>1336</v>
      </c>
      <c r="AM34" s="101"/>
      <c r="AN34" s="101"/>
      <c r="AO34" s="101"/>
      <c r="AP34" s="101"/>
      <c r="AQ34" s="101"/>
      <c r="AR34" s="105"/>
      <c r="AS34" s="171"/>
    </row>
    <row r="35" spans="1:45">
      <c r="A35" s="131" t="s">
        <v>1224</v>
      </c>
      <c r="B35" s="156" t="s">
        <v>1337</v>
      </c>
      <c r="C35" s="156" t="s">
        <v>1322</v>
      </c>
      <c r="D35" s="156" t="s">
        <v>1382</v>
      </c>
      <c r="E35" s="156"/>
      <c r="F35" s="156" t="s">
        <v>1708</v>
      </c>
      <c r="G35" s="157">
        <v>44500</v>
      </c>
      <c r="H35" s="158" t="s">
        <v>1920</v>
      </c>
      <c r="I35" s="158" t="s">
        <v>1976</v>
      </c>
      <c r="J35" s="156" t="s">
        <v>2137</v>
      </c>
      <c r="K35" s="156" t="s">
        <v>2152</v>
      </c>
      <c r="L35" s="156" t="s">
        <v>2165</v>
      </c>
      <c r="M35" s="156">
        <v>15</v>
      </c>
      <c r="N35" s="159">
        <v>205000</v>
      </c>
      <c r="O35" s="160">
        <v>1</v>
      </c>
      <c r="P35" s="160">
        <v>184398</v>
      </c>
      <c r="Q35" s="160">
        <v>1144</v>
      </c>
      <c r="R35" s="159">
        <v>180965</v>
      </c>
      <c r="S35" s="157"/>
      <c r="T35" s="157"/>
      <c r="U35" s="161">
        <v>0</v>
      </c>
      <c r="V35" s="158" t="s">
        <v>852</v>
      </c>
      <c r="W35" s="158" t="s">
        <v>905</v>
      </c>
      <c r="X35" s="158" t="s">
        <v>2174</v>
      </c>
      <c r="Y35" s="162" t="s">
        <v>2185</v>
      </c>
      <c r="Z35" s="163" t="s">
        <v>2191</v>
      </c>
      <c r="AA35" s="163">
        <v>1</v>
      </c>
      <c r="AB35" s="163">
        <v>1</v>
      </c>
      <c r="AC35" s="101">
        <v>1</v>
      </c>
      <c r="AD35" s="101">
        <v>1</v>
      </c>
      <c r="AE35" s="101" t="s">
        <v>2201</v>
      </c>
      <c r="AF35" s="102" t="str">
        <f>IF(ISERROR(VLOOKUP(AE35,小分類・セグメント!$A:$C,3,FALSE)),"",VLOOKUP(AE35,小分類・セグメント!$A:$C,3,FALSE))</f>
        <v>ECD</v>
      </c>
      <c r="AG35" s="103" t="str">
        <f>IF(ISERROR(VLOOKUP(AE35,小細分類・事業部マスタ!$E:$H,4,FALSE)),"",VLOOKUP(AE35,小細分類・事業部マスタ!$E:$H,4,FALSE))</f>
        <v>パワーデバイス事業部</v>
      </c>
      <c r="AH35" s="101" t="s">
        <v>2174</v>
      </c>
      <c r="AI35" s="104">
        <f>IF(ISERROR(VLOOKUP(AJ35,設置場所!$A:$B,2,FALSE)),"",VLOOKUP(AJ35,設置場所!$A:$B,2,FALSE))</f>
        <v>900000030</v>
      </c>
      <c r="AJ35" s="101" t="s">
        <v>2191</v>
      </c>
      <c r="AK35" s="101" t="s">
        <v>1331</v>
      </c>
      <c r="AL35" s="101" t="s">
        <v>1336</v>
      </c>
      <c r="AM35" s="101"/>
      <c r="AN35" s="101"/>
      <c r="AO35" s="101"/>
      <c r="AP35" s="101"/>
      <c r="AQ35" s="101"/>
      <c r="AR35" s="105"/>
      <c r="AS35" s="171"/>
    </row>
    <row r="36" spans="1:45">
      <c r="A36" s="131" t="s">
        <v>1224</v>
      </c>
      <c r="B36" s="156" t="s">
        <v>1337</v>
      </c>
      <c r="C36" s="156" t="s">
        <v>1322</v>
      </c>
      <c r="D36" s="156" t="s">
        <v>1383</v>
      </c>
      <c r="E36" s="156"/>
      <c r="F36" s="156" t="s">
        <v>1709</v>
      </c>
      <c r="G36" s="157">
        <v>44500</v>
      </c>
      <c r="H36" s="158" t="s">
        <v>1920</v>
      </c>
      <c r="I36" s="158" t="s">
        <v>1976</v>
      </c>
      <c r="J36" s="156" t="s">
        <v>2137</v>
      </c>
      <c r="K36" s="156" t="s">
        <v>2152</v>
      </c>
      <c r="L36" s="156" t="s">
        <v>2165</v>
      </c>
      <c r="M36" s="156">
        <v>15</v>
      </c>
      <c r="N36" s="159">
        <v>567000</v>
      </c>
      <c r="O36" s="160">
        <v>1</v>
      </c>
      <c r="P36" s="160">
        <v>510017</v>
      </c>
      <c r="Q36" s="160">
        <v>3166</v>
      </c>
      <c r="R36" s="159">
        <v>500520</v>
      </c>
      <c r="S36" s="157"/>
      <c r="T36" s="157"/>
      <c r="U36" s="161">
        <v>0</v>
      </c>
      <c r="V36" s="158" t="s">
        <v>852</v>
      </c>
      <c r="W36" s="158" t="s">
        <v>905</v>
      </c>
      <c r="X36" s="158" t="s">
        <v>2174</v>
      </c>
      <c r="Y36" s="162" t="s">
        <v>2185</v>
      </c>
      <c r="Z36" s="163" t="s">
        <v>2191</v>
      </c>
      <c r="AA36" s="163">
        <v>1</v>
      </c>
      <c r="AB36" s="163">
        <v>1</v>
      </c>
      <c r="AC36" s="101">
        <v>1</v>
      </c>
      <c r="AD36" s="101">
        <v>1</v>
      </c>
      <c r="AE36" s="101" t="s">
        <v>2201</v>
      </c>
      <c r="AF36" s="102" t="str">
        <f>IF(ISERROR(VLOOKUP(AE36,小分類・セグメント!$A:$C,3,FALSE)),"",VLOOKUP(AE36,小分類・セグメント!$A:$C,3,FALSE))</f>
        <v>ECD</v>
      </c>
      <c r="AG36" s="103" t="str">
        <f>IF(ISERROR(VLOOKUP(AE36,小細分類・事業部マスタ!$E:$H,4,FALSE)),"",VLOOKUP(AE36,小細分類・事業部マスタ!$E:$H,4,FALSE))</f>
        <v>パワーデバイス事業部</v>
      </c>
      <c r="AH36" s="101" t="s">
        <v>2174</v>
      </c>
      <c r="AI36" s="104">
        <f>IF(ISERROR(VLOOKUP(AJ36,設置場所!$A:$B,2,FALSE)),"",VLOOKUP(AJ36,設置場所!$A:$B,2,FALSE))</f>
        <v>900000030</v>
      </c>
      <c r="AJ36" s="101" t="s">
        <v>2191</v>
      </c>
      <c r="AK36" s="101" t="s">
        <v>1331</v>
      </c>
      <c r="AL36" s="101" t="s">
        <v>1336</v>
      </c>
      <c r="AM36" s="101"/>
      <c r="AN36" s="101"/>
      <c r="AO36" s="101"/>
      <c r="AP36" s="101"/>
      <c r="AQ36" s="101"/>
      <c r="AR36" s="105"/>
      <c r="AS36" s="171"/>
    </row>
    <row r="37" spans="1:45">
      <c r="A37" s="131" t="s">
        <v>1224</v>
      </c>
      <c r="B37" s="156" t="s">
        <v>1337</v>
      </c>
      <c r="C37" s="156" t="s">
        <v>1322</v>
      </c>
      <c r="D37" s="156" t="s">
        <v>1384</v>
      </c>
      <c r="E37" s="156"/>
      <c r="F37" s="156" t="s">
        <v>1710</v>
      </c>
      <c r="G37" s="157">
        <v>44651</v>
      </c>
      <c r="H37" s="158" t="s">
        <v>1913</v>
      </c>
      <c r="I37" s="158" t="s">
        <v>1977</v>
      </c>
      <c r="J37" s="156" t="s">
        <v>2137</v>
      </c>
      <c r="K37" s="156" t="s">
        <v>2152</v>
      </c>
      <c r="L37" s="156" t="s">
        <v>2165</v>
      </c>
      <c r="M37" s="156">
        <v>15</v>
      </c>
      <c r="N37" s="159">
        <v>3490000</v>
      </c>
      <c r="O37" s="160">
        <v>1</v>
      </c>
      <c r="P37" s="160">
        <v>3236685</v>
      </c>
      <c r="Q37" s="160">
        <v>19486</v>
      </c>
      <c r="R37" s="159">
        <v>3178228</v>
      </c>
      <c r="S37" s="157"/>
      <c r="T37" s="157"/>
      <c r="U37" s="161">
        <v>0</v>
      </c>
      <c r="V37" s="158" t="s">
        <v>852</v>
      </c>
      <c r="W37" s="158" t="s">
        <v>627</v>
      </c>
      <c r="X37" s="158"/>
      <c r="Y37" s="162" t="s">
        <v>2185</v>
      </c>
      <c r="Z37" s="163" t="s">
        <v>2191</v>
      </c>
      <c r="AA37" s="163">
        <v>1</v>
      </c>
      <c r="AB37" s="163">
        <v>1</v>
      </c>
      <c r="AC37" s="101">
        <v>1</v>
      </c>
      <c r="AD37" s="101">
        <v>1</v>
      </c>
      <c r="AE37" s="101" t="s">
        <v>2201</v>
      </c>
      <c r="AF37" s="102" t="str">
        <f>IF(ISERROR(VLOOKUP(AE37,小分類・セグメント!$A:$C,3,FALSE)),"",VLOOKUP(AE37,小分類・セグメント!$A:$C,3,FALSE))</f>
        <v>ECD</v>
      </c>
      <c r="AG37" s="103" t="str">
        <f>IF(ISERROR(VLOOKUP(AE37,小細分類・事業部マスタ!$E:$H,4,FALSE)),"",VLOOKUP(AE37,小細分類・事業部マスタ!$E:$H,4,FALSE))</f>
        <v>パワーデバイス事業部</v>
      </c>
      <c r="AH37" s="101" t="s">
        <v>2170</v>
      </c>
      <c r="AI37" s="104">
        <f>IF(ISERROR(VLOOKUP(AJ37,設置場所!$A:$B,2,FALSE)),"",VLOOKUP(AJ37,設置場所!$A:$B,2,FALSE))</f>
        <v>900000030</v>
      </c>
      <c r="AJ37" s="101" t="s">
        <v>2191</v>
      </c>
      <c r="AK37" s="101" t="s">
        <v>1331</v>
      </c>
      <c r="AL37" s="101" t="s">
        <v>1336</v>
      </c>
      <c r="AM37" s="101"/>
      <c r="AN37" s="101"/>
      <c r="AO37" s="101"/>
      <c r="AP37" s="101"/>
      <c r="AQ37" s="101"/>
      <c r="AR37" s="105"/>
      <c r="AS37" s="171"/>
    </row>
    <row r="38" spans="1:45">
      <c r="A38" s="131" t="s">
        <v>1224</v>
      </c>
      <c r="B38" s="156" t="s">
        <v>1337</v>
      </c>
      <c r="C38" s="156" t="s">
        <v>1322</v>
      </c>
      <c r="D38" s="156" t="s">
        <v>1385</v>
      </c>
      <c r="E38" s="156"/>
      <c r="F38" s="156" t="s">
        <v>1711</v>
      </c>
      <c r="G38" s="157">
        <v>44651</v>
      </c>
      <c r="H38" s="158" t="s">
        <v>1917</v>
      </c>
      <c r="I38" s="158" t="s">
        <v>1978</v>
      </c>
      <c r="J38" s="156" t="s">
        <v>2137</v>
      </c>
      <c r="K38" s="156" t="s">
        <v>2152</v>
      </c>
      <c r="L38" s="156" t="s">
        <v>2165</v>
      </c>
      <c r="M38" s="156">
        <v>15</v>
      </c>
      <c r="N38" s="159">
        <v>300000</v>
      </c>
      <c r="O38" s="160">
        <v>1</v>
      </c>
      <c r="P38" s="160">
        <v>278225</v>
      </c>
      <c r="Q38" s="160">
        <v>1675</v>
      </c>
      <c r="R38" s="159">
        <v>273200</v>
      </c>
      <c r="S38" s="157"/>
      <c r="T38" s="157"/>
      <c r="U38" s="161">
        <v>0</v>
      </c>
      <c r="V38" s="158" t="s">
        <v>852</v>
      </c>
      <c r="W38" s="158" t="s">
        <v>627</v>
      </c>
      <c r="X38" s="158"/>
      <c r="Y38" s="162" t="s">
        <v>2185</v>
      </c>
      <c r="Z38" s="163" t="s">
        <v>2191</v>
      </c>
      <c r="AA38" s="163">
        <v>1</v>
      </c>
      <c r="AB38" s="163">
        <v>1</v>
      </c>
      <c r="AC38" s="101">
        <v>1</v>
      </c>
      <c r="AD38" s="101">
        <v>1</v>
      </c>
      <c r="AE38" s="101" t="s">
        <v>2201</v>
      </c>
      <c r="AF38" s="102" t="str">
        <f>IF(ISERROR(VLOOKUP(AE38,小分類・セグメント!$A:$C,3,FALSE)),"",VLOOKUP(AE38,小分類・セグメント!$A:$C,3,FALSE))</f>
        <v>ECD</v>
      </c>
      <c r="AG38" s="103" t="str">
        <f>IF(ISERROR(VLOOKUP(AE38,小細分類・事業部マスタ!$E:$H,4,FALSE)),"",VLOOKUP(AE38,小細分類・事業部マスタ!$E:$H,4,FALSE))</f>
        <v>パワーデバイス事業部</v>
      </c>
      <c r="AH38" s="101" t="s">
        <v>2170</v>
      </c>
      <c r="AI38" s="104">
        <f>IF(ISERROR(VLOOKUP(AJ38,設置場所!$A:$B,2,FALSE)),"",VLOOKUP(AJ38,設置場所!$A:$B,2,FALSE))</f>
        <v>900000030</v>
      </c>
      <c r="AJ38" s="101" t="s">
        <v>2191</v>
      </c>
      <c r="AK38" s="101" t="s">
        <v>1331</v>
      </c>
      <c r="AL38" s="101" t="s">
        <v>1336</v>
      </c>
      <c r="AM38" s="101"/>
      <c r="AN38" s="101"/>
      <c r="AO38" s="101"/>
      <c r="AP38" s="101"/>
      <c r="AQ38" s="101"/>
      <c r="AR38" s="105"/>
      <c r="AS38" s="171"/>
    </row>
    <row r="39" spans="1:45">
      <c r="A39" s="131" t="s">
        <v>1224</v>
      </c>
      <c r="B39" s="156" t="s">
        <v>1337</v>
      </c>
      <c r="C39" s="156" t="s">
        <v>1322</v>
      </c>
      <c r="D39" s="156" t="s">
        <v>1386</v>
      </c>
      <c r="E39" s="156"/>
      <c r="F39" s="156" t="s">
        <v>1712</v>
      </c>
      <c r="G39" s="157">
        <v>44651</v>
      </c>
      <c r="H39" s="158" t="s">
        <v>1921</v>
      </c>
      <c r="I39" s="158" t="s">
        <v>1979</v>
      </c>
      <c r="J39" s="156" t="s">
        <v>2137</v>
      </c>
      <c r="K39" s="156" t="s">
        <v>2152</v>
      </c>
      <c r="L39" s="156" t="s">
        <v>2165</v>
      </c>
      <c r="M39" s="156">
        <v>15</v>
      </c>
      <c r="N39" s="159">
        <v>2200000</v>
      </c>
      <c r="O39" s="160">
        <v>1</v>
      </c>
      <c r="P39" s="160">
        <v>2040317</v>
      </c>
      <c r="Q39" s="160">
        <v>12284</v>
      </c>
      <c r="R39" s="159">
        <v>2003467</v>
      </c>
      <c r="S39" s="157"/>
      <c r="T39" s="157"/>
      <c r="U39" s="161">
        <v>0</v>
      </c>
      <c r="V39" s="158" t="s">
        <v>852</v>
      </c>
      <c r="W39" s="158" t="s">
        <v>627</v>
      </c>
      <c r="X39" s="158"/>
      <c r="Y39" s="162" t="s">
        <v>2185</v>
      </c>
      <c r="Z39" s="163" t="s">
        <v>2191</v>
      </c>
      <c r="AA39" s="163">
        <v>1</v>
      </c>
      <c r="AB39" s="163">
        <v>1</v>
      </c>
      <c r="AC39" s="101">
        <v>1</v>
      </c>
      <c r="AD39" s="101">
        <v>1</v>
      </c>
      <c r="AE39" s="101" t="s">
        <v>2201</v>
      </c>
      <c r="AF39" s="102" t="str">
        <f>IF(ISERROR(VLOOKUP(AE39,小分類・セグメント!$A:$C,3,FALSE)),"",VLOOKUP(AE39,小分類・セグメント!$A:$C,3,FALSE))</f>
        <v>ECD</v>
      </c>
      <c r="AG39" s="103" t="str">
        <f>IF(ISERROR(VLOOKUP(AE39,小細分類・事業部マスタ!$E:$H,4,FALSE)),"",VLOOKUP(AE39,小細分類・事業部マスタ!$E:$H,4,FALSE))</f>
        <v>パワーデバイス事業部</v>
      </c>
      <c r="AH39" s="101" t="s">
        <v>2170</v>
      </c>
      <c r="AI39" s="104">
        <f>IF(ISERROR(VLOOKUP(AJ39,設置場所!$A:$B,2,FALSE)),"",VLOOKUP(AJ39,設置場所!$A:$B,2,FALSE))</f>
        <v>900000030</v>
      </c>
      <c r="AJ39" s="101" t="s">
        <v>2191</v>
      </c>
      <c r="AK39" s="101" t="s">
        <v>1331</v>
      </c>
      <c r="AL39" s="101" t="s">
        <v>1336</v>
      </c>
      <c r="AM39" s="101"/>
      <c r="AN39" s="101"/>
      <c r="AO39" s="101"/>
      <c r="AP39" s="101"/>
      <c r="AQ39" s="101"/>
      <c r="AR39" s="105"/>
      <c r="AS39" s="171"/>
    </row>
    <row r="40" spans="1:45">
      <c r="A40" s="131" t="s">
        <v>1224</v>
      </c>
      <c r="B40" s="156" t="s">
        <v>1337</v>
      </c>
      <c r="C40" s="156" t="s">
        <v>1322</v>
      </c>
      <c r="D40" s="156" t="s">
        <v>1387</v>
      </c>
      <c r="E40" s="156"/>
      <c r="F40" s="156" t="s">
        <v>1713</v>
      </c>
      <c r="G40" s="157">
        <v>45016</v>
      </c>
      <c r="H40" s="158" t="s">
        <v>1913</v>
      </c>
      <c r="I40" s="158" t="s">
        <v>1980</v>
      </c>
      <c r="J40" s="156" t="s">
        <v>2137</v>
      </c>
      <c r="K40" s="156" t="s">
        <v>2152</v>
      </c>
      <c r="L40" s="156" t="s">
        <v>2165</v>
      </c>
      <c r="M40" s="156">
        <v>15</v>
      </c>
      <c r="N40" s="159">
        <v>7200000</v>
      </c>
      <c r="O40" s="160">
        <v>1</v>
      </c>
      <c r="P40" s="160">
        <v>7159800</v>
      </c>
      <c r="Q40" s="160">
        <v>40200</v>
      </c>
      <c r="R40" s="159">
        <v>7039200</v>
      </c>
      <c r="S40" s="157"/>
      <c r="T40" s="157"/>
      <c r="U40" s="161">
        <v>0</v>
      </c>
      <c r="V40" s="158" t="s">
        <v>852</v>
      </c>
      <c r="W40" s="158" t="s">
        <v>1192</v>
      </c>
      <c r="X40" s="158"/>
      <c r="Y40" s="162" t="s">
        <v>2185</v>
      </c>
      <c r="Z40" s="163" t="s">
        <v>2191</v>
      </c>
      <c r="AA40" s="163"/>
      <c r="AB40" s="163"/>
      <c r="AC40" s="101">
        <v>1</v>
      </c>
      <c r="AD40" s="101">
        <v>1</v>
      </c>
      <c r="AE40" s="101" t="s">
        <v>2203</v>
      </c>
      <c r="AF40" s="102" t="str">
        <f>IF(ISERROR(VLOOKUP(AE40,小分類・セグメント!$A:$C,3,FALSE)),"",VLOOKUP(AE40,小分類・セグメント!$A:$C,3,FALSE))</f>
        <v>ECD</v>
      </c>
      <c r="AG40" s="103" t="str">
        <f>IF(ISERROR(VLOOKUP(AE40,小細分類・事業部マスタ!$E:$H,4,FALSE)),"",VLOOKUP(AE40,小細分類・事業部マスタ!$E:$H,4,FALSE))</f>
        <v>パワーデバイス事業部</v>
      </c>
      <c r="AH40" s="101" t="s">
        <v>2173</v>
      </c>
      <c r="AI40" s="104">
        <f>IF(ISERROR(VLOOKUP(AJ40,設置場所!$A:$B,2,FALSE)),"",VLOOKUP(AJ40,設置場所!$A:$B,2,FALSE))</f>
        <v>900000030</v>
      </c>
      <c r="AJ40" s="101" t="s">
        <v>2191</v>
      </c>
      <c r="AK40" s="101" t="s">
        <v>1331</v>
      </c>
      <c r="AL40" s="101" t="s">
        <v>1336</v>
      </c>
      <c r="AM40" s="101"/>
      <c r="AN40" s="101"/>
      <c r="AO40" s="101"/>
      <c r="AP40" s="101"/>
      <c r="AQ40" s="101"/>
      <c r="AR40" s="105"/>
      <c r="AS40" s="171"/>
    </row>
    <row r="41" spans="1:45">
      <c r="A41" s="131" t="s">
        <v>1224</v>
      </c>
      <c r="B41" s="156" t="s">
        <v>1337</v>
      </c>
      <c r="C41" s="156" t="s">
        <v>1321</v>
      </c>
      <c r="D41" s="156" t="s">
        <v>1388</v>
      </c>
      <c r="E41" s="156" t="s">
        <v>1597</v>
      </c>
      <c r="F41" s="156" t="s">
        <v>1714</v>
      </c>
      <c r="G41" s="157">
        <v>36434</v>
      </c>
      <c r="H41" s="158" t="s">
        <v>1918</v>
      </c>
      <c r="I41" s="158"/>
      <c r="J41" s="156" t="s">
        <v>2141</v>
      </c>
      <c r="K41" s="156" t="s">
        <v>2156</v>
      </c>
      <c r="L41" s="156" t="s">
        <v>2166</v>
      </c>
      <c r="M41" s="156">
        <v>4</v>
      </c>
      <c r="N41" s="159">
        <v>390000</v>
      </c>
      <c r="O41" s="160">
        <v>1</v>
      </c>
      <c r="P41" s="160">
        <v>1</v>
      </c>
      <c r="Q41" s="160">
        <v>0</v>
      </c>
      <c r="R41" s="159">
        <v>1</v>
      </c>
      <c r="S41" s="157"/>
      <c r="T41" s="157"/>
      <c r="U41" s="161">
        <v>0</v>
      </c>
      <c r="V41" s="158" t="s">
        <v>852</v>
      </c>
      <c r="W41" s="158" t="s">
        <v>627</v>
      </c>
      <c r="X41" s="158"/>
      <c r="Y41" s="162" t="s">
        <v>2185</v>
      </c>
      <c r="Z41" s="163" t="s">
        <v>2191</v>
      </c>
      <c r="AA41" s="163">
        <v>1</v>
      </c>
      <c r="AB41" s="163">
        <v>1</v>
      </c>
      <c r="AC41" s="101">
        <v>1</v>
      </c>
      <c r="AD41" s="101">
        <v>1</v>
      </c>
      <c r="AE41" s="101" t="s">
        <v>2201</v>
      </c>
      <c r="AF41" s="102" t="str">
        <f>IF(ISERROR(VLOOKUP(AE41,小分類・セグメント!$A:$C,3,FALSE)),"",VLOOKUP(AE41,小分類・セグメント!$A:$C,3,FALSE))</f>
        <v>ECD</v>
      </c>
      <c r="AG41" s="103" t="str">
        <f>IF(ISERROR(VLOOKUP(AE41,小細分類・事業部マスタ!$E:$H,4,FALSE)),"",VLOOKUP(AE41,小細分類・事業部マスタ!$E:$H,4,FALSE))</f>
        <v>パワーデバイス事業部</v>
      </c>
      <c r="AH41" s="101" t="s">
        <v>2205</v>
      </c>
      <c r="AI41" s="104">
        <f>IF(ISERROR(VLOOKUP(AJ41,設置場所!$A:$B,2,FALSE)),"",VLOOKUP(AJ41,設置場所!$A:$B,2,FALSE))</f>
        <v>900000030</v>
      </c>
      <c r="AJ41" s="101" t="s">
        <v>2191</v>
      </c>
      <c r="AK41" s="101" t="s">
        <v>1331</v>
      </c>
      <c r="AL41" s="101" t="s">
        <v>1336</v>
      </c>
      <c r="AM41" s="101"/>
      <c r="AN41" s="101"/>
      <c r="AO41" s="101"/>
      <c r="AP41" s="101"/>
      <c r="AQ41" s="101"/>
      <c r="AR41" s="105"/>
      <c r="AS41" s="171"/>
    </row>
    <row r="42" spans="1:45">
      <c r="A42" s="131" t="s">
        <v>1224</v>
      </c>
      <c r="B42" s="156" t="s">
        <v>1337</v>
      </c>
      <c r="C42" s="156" t="s">
        <v>1321</v>
      </c>
      <c r="D42" s="156" t="s">
        <v>1389</v>
      </c>
      <c r="E42" s="156" t="s">
        <v>1598</v>
      </c>
      <c r="F42" s="156" t="s">
        <v>1715</v>
      </c>
      <c r="G42" s="157">
        <v>40086</v>
      </c>
      <c r="H42" s="158" t="s">
        <v>1918</v>
      </c>
      <c r="I42" s="158" t="s">
        <v>1981</v>
      </c>
      <c r="J42" s="156" t="s">
        <v>2142</v>
      </c>
      <c r="K42" s="156" t="s">
        <v>2157</v>
      </c>
      <c r="L42" s="156" t="s">
        <v>2167</v>
      </c>
      <c r="M42" s="156">
        <v>4</v>
      </c>
      <c r="N42" s="159">
        <v>310000</v>
      </c>
      <c r="O42" s="160">
        <v>1</v>
      </c>
      <c r="P42" s="160">
        <v>1</v>
      </c>
      <c r="Q42" s="160">
        <v>0</v>
      </c>
      <c r="R42" s="159">
        <v>1</v>
      </c>
      <c r="S42" s="157"/>
      <c r="T42" s="157"/>
      <c r="U42" s="161">
        <v>0</v>
      </c>
      <c r="V42" s="158" t="s">
        <v>852</v>
      </c>
      <c r="W42" s="158" t="s">
        <v>627</v>
      </c>
      <c r="X42" s="158"/>
      <c r="Y42" s="162" t="s">
        <v>2185</v>
      </c>
      <c r="Z42" s="163" t="s">
        <v>2191</v>
      </c>
      <c r="AA42" s="163">
        <v>1</v>
      </c>
      <c r="AB42" s="163">
        <v>4</v>
      </c>
      <c r="AC42" s="101">
        <v>1</v>
      </c>
      <c r="AD42" s="101">
        <v>4</v>
      </c>
      <c r="AE42" s="101" t="s">
        <v>2201</v>
      </c>
      <c r="AF42" s="102" t="str">
        <f>IF(ISERROR(VLOOKUP(AE42,小分類・セグメント!$A:$C,3,FALSE)),"",VLOOKUP(AE42,小分類・セグメント!$A:$C,3,FALSE))</f>
        <v>ECD</v>
      </c>
      <c r="AG42" s="103" t="str">
        <f>IF(ISERROR(VLOOKUP(AE42,小細分類・事業部マスタ!$E:$H,4,FALSE)),"",VLOOKUP(AE42,小細分類・事業部マスタ!$E:$H,4,FALSE))</f>
        <v>パワーデバイス事業部</v>
      </c>
      <c r="AH42" s="101" t="s">
        <v>2169</v>
      </c>
      <c r="AI42" s="104">
        <f>IF(ISERROR(VLOOKUP(AJ42,設置場所!$A:$B,2,FALSE)),"",VLOOKUP(AJ42,設置場所!$A:$B,2,FALSE))</f>
        <v>900000030</v>
      </c>
      <c r="AJ42" s="101" t="s">
        <v>2191</v>
      </c>
      <c r="AK42" s="101" t="s">
        <v>1331</v>
      </c>
      <c r="AL42" s="101" t="s">
        <v>1336</v>
      </c>
      <c r="AM42" s="101"/>
      <c r="AN42" s="101"/>
      <c r="AO42" s="101"/>
      <c r="AP42" s="101"/>
      <c r="AQ42" s="101"/>
      <c r="AR42" s="105"/>
      <c r="AS42" s="171"/>
    </row>
    <row r="43" spans="1:45">
      <c r="A43" s="131" t="s">
        <v>1224</v>
      </c>
      <c r="B43" s="156" t="s">
        <v>1337</v>
      </c>
      <c r="C43" s="156" t="s">
        <v>1321</v>
      </c>
      <c r="D43" s="156" t="s">
        <v>1390</v>
      </c>
      <c r="E43" s="156" t="s">
        <v>1599</v>
      </c>
      <c r="F43" s="156" t="s">
        <v>1716</v>
      </c>
      <c r="G43" s="157">
        <v>37773</v>
      </c>
      <c r="H43" s="158" t="s">
        <v>1918</v>
      </c>
      <c r="I43" s="158"/>
      <c r="J43" s="156" t="s">
        <v>2142</v>
      </c>
      <c r="K43" s="156" t="s">
        <v>2157</v>
      </c>
      <c r="L43" s="156" t="s">
        <v>2166</v>
      </c>
      <c r="M43" s="156">
        <v>4</v>
      </c>
      <c r="N43" s="159">
        <v>311000</v>
      </c>
      <c r="O43" s="160">
        <v>1</v>
      </c>
      <c r="P43" s="160">
        <v>1</v>
      </c>
      <c r="Q43" s="160">
        <v>0</v>
      </c>
      <c r="R43" s="159">
        <v>1</v>
      </c>
      <c r="S43" s="157"/>
      <c r="T43" s="157"/>
      <c r="U43" s="161">
        <v>0</v>
      </c>
      <c r="V43" s="158" t="s">
        <v>852</v>
      </c>
      <c r="W43" s="158" t="s">
        <v>627</v>
      </c>
      <c r="X43" s="158" t="s">
        <v>2169</v>
      </c>
      <c r="Y43" s="162" t="s">
        <v>2185</v>
      </c>
      <c r="Z43" s="163" t="s">
        <v>2191</v>
      </c>
      <c r="AA43" s="163">
        <v>1</v>
      </c>
      <c r="AB43" s="163">
        <v>4</v>
      </c>
      <c r="AC43" s="101">
        <v>1</v>
      </c>
      <c r="AD43" s="101">
        <v>4</v>
      </c>
      <c r="AE43" s="101" t="s">
        <v>2201</v>
      </c>
      <c r="AF43" s="102" t="str">
        <f>IF(ISERROR(VLOOKUP(AE43,小分類・セグメント!$A:$C,3,FALSE)),"",VLOOKUP(AE43,小分類・セグメント!$A:$C,3,FALSE))</f>
        <v>ECD</v>
      </c>
      <c r="AG43" s="103" t="str">
        <f>IF(ISERROR(VLOOKUP(AE43,小細分類・事業部マスタ!$E:$H,4,FALSE)),"",VLOOKUP(AE43,小細分類・事業部マスタ!$E:$H,4,FALSE))</f>
        <v>パワーデバイス事業部</v>
      </c>
      <c r="AH43" s="101" t="s">
        <v>2169</v>
      </c>
      <c r="AI43" s="104">
        <f>IF(ISERROR(VLOOKUP(AJ43,設置場所!$A:$B,2,FALSE)),"",VLOOKUP(AJ43,設置場所!$A:$B,2,FALSE))</f>
        <v>900000030</v>
      </c>
      <c r="AJ43" s="101" t="s">
        <v>2191</v>
      </c>
      <c r="AK43" s="101" t="s">
        <v>1331</v>
      </c>
      <c r="AL43" s="101" t="s">
        <v>1336</v>
      </c>
      <c r="AM43" s="101"/>
      <c r="AN43" s="101"/>
      <c r="AO43" s="101"/>
      <c r="AP43" s="101"/>
      <c r="AQ43" s="101"/>
      <c r="AR43" s="105"/>
      <c r="AS43" s="171"/>
    </row>
    <row r="44" spans="1:45">
      <c r="A44" s="131" t="s">
        <v>1224</v>
      </c>
      <c r="B44" s="156" t="s">
        <v>1337</v>
      </c>
      <c r="C44" s="156" t="s">
        <v>1321</v>
      </c>
      <c r="D44" s="156" t="s">
        <v>1391</v>
      </c>
      <c r="E44" s="156" t="s">
        <v>1600</v>
      </c>
      <c r="F44" s="156" t="s">
        <v>1717</v>
      </c>
      <c r="G44" s="157">
        <v>38687</v>
      </c>
      <c r="H44" s="158" t="s">
        <v>1918</v>
      </c>
      <c r="I44" s="158"/>
      <c r="J44" s="156" t="s">
        <v>2141</v>
      </c>
      <c r="K44" s="156" t="s">
        <v>2156</v>
      </c>
      <c r="L44" s="156" t="s">
        <v>2166</v>
      </c>
      <c r="M44" s="156">
        <v>8</v>
      </c>
      <c r="N44" s="159">
        <v>643000</v>
      </c>
      <c r="O44" s="160">
        <v>1</v>
      </c>
      <c r="P44" s="160">
        <v>1</v>
      </c>
      <c r="Q44" s="160">
        <v>0</v>
      </c>
      <c r="R44" s="159">
        <v>1</v>
      </c>
      <c r="S44" s="157"/>
      <c r="T44" s="157"/>
      <c r="U44" s="161">
        <v>0</v>
      </c>
      <c r="V44" s="158" t="s">
        <v>852</v>
      </c>
      <c r="W44" s="158" t="s">
        <v>627</v>
      </c>
      <c r="X44" s="158" t="s">
        <v>2175</v>
      </c>
      <c r="Y44" s="162" t="s">
        <v>2185</v>
      </c>
      <c r="Z44" s="163" t="s">
        <v>2191</v>
      </c>
      <c r="AA44" s="163">
        <v>1</v>
      </c>
      <c r="AB44" s="163">
        <v>1</v>
      </c>
      <c r="AC44" s="101">
        <v>1</v>
      </c>
      <c r="AD44" s="101">
        <v>1</v>
      </c>
      <c r="AE44" s="101" t="s">
        <v>2201</v>
      </c>
      <c r="AF44" s="102" t="str">
        <f>IF(ISERROR(VLOOKUP(AE44,小分類・セグメント!$A:$C,3,FALSE)),"",VLOOKUP(AE44,小分類・セグメント!$A:$C,3,FALSE))</f>
        <v>ECD</v>
      </c>
      <c r="AG44" s="103" t="str">
        <f>IF(ISERROR(VLOOKUP(AE44,小細分類・事業部マスタ!$E:$H,4,FALSE)),"",VLOOKUP(AE44,小細分類・事業部マスタ!$E:$H,4,FALSE))</f>
        <v>パワーデバイス事業部</v>
      </c>
      <c r="AH44" s="101" t="s">
        <v>2175</v>
      </c>
      <c r="AI44" s="104">
        <f>IF(ISERROR(VLOOKUP(AJ44,設置場所!$A:$B,2,FALSE)),"",VLOOKUP(AJ44,設置場所!$A:$B,2,FALSE))</f>
        <v>900000030</v>
      </c>
      <c r="AJ44" s="101" t="s">
        <v>2191</v>
      </c>
      <c r="AK44" s="101" t="s">
        <v>1331</v>
      </c>
      <c r="AL44" s="101" t="s">
        <v>1336</v>
      </c>
      <c r="AM44" s="101"/>
      <c r="AN44" s="101"/>
      <c r="AO44" s="101"/>
      <c r="AP44" s="101"/>
      <c r="AQ44" s="101"/>
      <c r="AR44" s="105"/>
      <c r="AS44" s="171"/>
    </row>
    <row r="45" spans="1:45">
      <c r="A45" s="131" t="s">
        <v>1224</v>
      </c>
      <c r="B45" s="156" t="s">
        <v>1337</v>
      </c>
      <c r="C45" s="156" t="s">
        <v>1321</v>
      </c>
      <c r="D45" s="156" t="s">
        <v>1392</v>
      </c>
      <c r="E45" s="156" t="s">
        <v>1601</v>
      </c>
      <c r="F45" s="156" t="s">
        <v>1718</v>
      </c>
      <c r="G45" s="157">
        <v>39372</v>
      </c>
      <c r="H45" s="158" t="s">
        <v>1918</v>
      </c>
      <c r="I45" s="158" t="s">
        <v>1982</v>
      </c>
      <c r="J45" s="156" t="s">
        <v>2143</v>
      </c>
      <c r="K45" s="156" t="s">
        <v>2158</v>
      </c>
      <c r="L45" s="156" t="s">
        <v>2167</v>
      </c>
      <c r="M45" s="156">
        <v>8</v>
      </c>
      <c r="N45" s="159">
        <v>738043</v>
      </c>
      <c r="O45" s="160">
        <v>1</v>
      </c>
      <c r="P45" s="160">
        <v>1</v>
      </c>
      <c r="Q45" s="160">
        <v>0</v>
      </c>
      <c r="R45" s="159">
        <v>1</v>
      </c>
      <c r="S45" s="157">
        <v>44718</v>
      </c>
      <c r="T45" s="157"/>
      <c r="U45" s="161">
        <v>0</v>
      </c>
      <c r="V45" s="158" t="s">
        <v>852</v>
      </c>
      <c r="W45" s="158" t="s">
        <v>627</v>
      </c>
      <c r="X45" s="158"/>
      <c r="Y45" s="162" t="s">
        <v>2185</v>
      </c>
      <c r="Z45" s="163" t="s">
        <v>2191</v>
      </c>
      <c r="AA45" s="163">
        <v>1</v>
      </c>
      <c r="AB45" s="163">
        <v>4</v>
      </c>
      <c r="AC45" s="101">
        <v>1</v>
      </c>
      <c r="AD45" s="101">
        <v>4</v>
      </c>
      <c r="AE45" s="101" t="s">
        <v>2201</v>
      </c>
      <c r="AF45" s="102" t="str">
        <f>IF(ISERROR(VLOOKUP(AE45,小分類・セグメント!$A:$C,3,FALSE)),"",VLOOKUP(AE45,小分類・セグメント!$A:$C,3,FALSE))</f>
        <v>ECD</v>
      </c>
      <c r="AG45" s="103" t="str">
        <f>IF(ISERROR(VLOOKUP(AE45,小細分類・事業部マスタ!$E:$H,4,FALSE)),"",VLOOKUP(AE45,小細分類・事業部マスタ!$E:$H,4,FALSE))</f>
        <v>パワーデバイス事業部</v>
      </c>
      <c r="AH45" s="101" t="s">
        <v>2206</v>
      </c>
      <c r="AI45" s="104">
        <f>IF(ISERROR(VLOOKUP(AJ45,設置場所!$A:$B,2,FALSE)),"",VLOOKUP(AJ45,設置場所!$A:$B,2,FALSE))</f>
        <v>900000030</v>
      </c>
      <c r="AJ45" s="101" t="s">
        <v>2191</v>
      </c>
      <c r="AK45" s="101" t="s">
        <v>1331</v>
      </c>
      <c r="AL45" s="101" t="s">
        <v>1336</v>
      </c>
      <c r="AM45" s="101"/>
      <c r="AN45" s="101"/>
      <c r="AO45" s="101"/>
      <c r="AP45" s="101"/>
      <c r="AQ45" s="101"/>
      <c r="AR45" s="105"/>
      <c r="AS45" s="171"/>
    </row>
    <row r="46" spans="1:45">
      <c r="A46" s="131" t="s">
        <v>1224</v>
      </c>
      <c r="B46" s="156" t="s">
        <v>1337</v>
      </c>
      <c r="C46" s="156" t="s">
        <v>1321</v>
      </c>
      <c r="D46" s="156" t="s">
        <v>1393</v>
      </c>
      <c r="E46" s="156" t="s">
        <v>1602</v>
      </c>
      <c r="F46" s="156" t="s">
        <v>1719</v>
      </c>
      <c r="G46" s="157">
        <v>40329</v>
      </c>
      <c r="H46" s="158" t="s">
        <v>1918</v>
      </c>
      <c r="I46" s="158" t="s">
        <v>1983</v>
      </c>
      <c r="J46" s="156" t="s">
        <v>2142</v>
      </c>
      <c r="K46" s="156" t="s">
        <v>2157</v>
      </c>
      <c r="L46" s="156" t="s">
        <v>2167</v>
      </c>
      <c r="M46" s="156">
        <v>4</v>
      </c>
      <c r="N46" s="159">
        <v>310000</v>
      </c>
      <c r="O46" s="160">
        <v>1</v>
      </c>
      <c r="P46" s="160">
        <v>1</v>
      </c>
      <c r="Q46" s="160">
        <v>0</v>
      </c>
      <c r="R46" s="159">
        <v>1</v>
      </c>
      <c r="S46" s="157"/>
      <c r="T46" s="157"/>
      <c r="U46" s="161">
        <v>0</v>
      </c>
      <c r="V46" s="158" t="s">
        <v>852</v>
      </c>
      <c r="W46" s="158" t="s">
        <v>627</v>
      </c>
      <c r="X46" s="158"/>
      <c r="Y46" s="162" t="s">
        <v>2185</v>
      </c>
      <c r="Z46" s="163" t="s">
        <v>2191</v>
      </c>
      <c r="AA46" s="163">
        <v>1</v>
      </c>
      <c r="AB46" s="163">
        <v>1</v>
      </c>
      <c r="AC46" s="101">
        <v>1</v>
      </c>
      <c r="AD46" s="101">
        <v>1</v>
      </c>
      <c r="AE46" s="101" t="s">
        <v>2201</v>
      </c>
      <c r="AF46" s="102" t="str">
        <f>IF(ISERROR(VLOOKUP(AE46,小分類・セグメント!$A:$C,3,FALSE)),"",VLOOKUP(AE46,小分類・セグメント!$A:$C,3,FALSE))</f>
        <v>ECD</v>
      </c>
      <c r="AG46" s="103" t="str">
        <f>IF(ISERROR(VLOOKUP(AE46,小細分類・事業部マスタ!$E:$H,4,FALSE)),"",VLOOKUP(AE46,小細分類・事業部マスタ!$E:$H,4,FALSE))</f>
        <v>パワーデバイス事業部</v>
      </c>
      <c r="AH46" s="101" t="s">
        <v>2206</v>
      </c>
      <c r="AI46" s="104">
        <f>IF(ISERROR(VLOOKUP(AJ46,設置場所!$A:$B,2,FALSE)),"",VLOOKUP(AJ46,設置場所!$A:$B,2,FALSE))</f>
        <v>900000030</v>
      </c>
      <c r="AJ46" s="101" t="s">
        <v>2191</v>
      </c>
      <c r="AK46" s="101" t="s">
        <v>1331</v>
      </c>
      <c r="AL46" s="101" t="s">
        <v>1336</v>
      </c>
      <c r="AM46" s="101"/>
      <c r="AN46" s="101"/>
      <c r="AO46" s="101"/>
      <c r="AP46" s="101"/>
      <c r="AQ46" s="101"/>
      <c r="AR46" s="105"/>
      <c r="AS46" s="171"/>
    </row>
    <row r="47" spans="1:45">
      <c r="A47" s="131" t="s">
        <v>1224</v>
      </c>
      <c r="B47" s="156" t="s">
        <v>1337</v>
      </c>
      <c r="C47" s="156" t="s">
        <v>1321</v>
      </c>
      <c r="D47" s="156" t="s">
        <v>1394</v>
      </c>
      <c r="E47" s="156" t="s">
        <v>1603</v>
      </c>
      <c r="F47" s="156" t="s">
        <v>1720</v>
      </c>
      <c r="G47" s="157">
        <v>40421</v>
      </c>
      <c r="H47" s="158" t="s">
        <v>1922</v>
      </c>
      <c r="I47" s="158" t="s">
        <v>1984</v>
      </c>
      <c r="J47" s="156" t="s">
        <v>2142</v>
      </c>
      <c r="K47" s="156" t="s">
        <v>2157</v>
      </c>
      <c r="L47" s="156" t="s">
        <v>2167</v>
      </c>
      <c r="M47" s="156">
        <v>4</v>
      </c>
      <c r="N47" s="159">
        <v>3950000</v>
      </c>
      <c r="O47" s="160">
        <v>1</v>
      </c>
      <c r="P47" s="160">
        <v>1</v>
      </c>
      <c r="Q47" s="160">
        <v>0</v>
      </c>
      <c r="R47" s="159">
        <v>1</v>
      </c>
      <c r="S47" s="157"/>
      <c r="T47" s="157"/>
      <c r="U47" s="161">
        <v>0</v>
      </c>
      <c r="V47" s="158" t="s">
        <v>852</v>
      </c>
      <c r="W47" s="158" t="s">
        <v>627</v>
      </c>
      <c r="X47" s="158"/>
      <c r="Y47" s="162" t="s">
        <v>2185</v>
      </c>
      <c r="Z47" s="163" t="s">
        <v>2191</v>
      </c>
      <c r="AA47" s="163">
        <v>1</v>
      </c>
      <c r="AB47" s="163">
        <v>4</v>
      </c>
      <c r="AC47" s="101">
        <v>1</v>
      </c>
      <c r="AD47" s="101">
        <v>4</v>
      </c>
      <c r="AE47" s="101" t="s">
        <v>2201</v>
      </c>
      <c r="AF47" s="102" t="str">
        <f>IF(ISERROR(VLOOKUP(AE47,小分類・セグメント!$A:$C,3,FALSE)),"",VLOOKUP(AE47,小分類・セグメント!$A:$C,3,FALSE))</f>
        <v>ECD</v>
      </c>
      <c r="AG47" s="103" t="str">
        <f>IF(ISERROR(VLOOKUP(AE47,小細分類・事業部マスタ!$E:$H,4,FALSE)),"",VLOOKUP(AE47,小細分類・事業部マスタ!$E:$H,4,FALSE))</f>
        <v>パワーデバイス事業部</v>
      </c>
      <c r="AH47" s="101" t="s">
        <v>2206</v>
      </c>
      <c r="AI47" s="104">
        <f>IF(ISERROR(VLOOKUP(AJ47,設置場所!$A:$B,2,FALSE)),"",VLOOKUP(AJ47,設置場所!$A:$B,2,FALSE))</f>
        <v>900000030</v>
      </c>
      <c r="AJ47" s="101" t="s">
        <v>2191</v>
      </c>
      <c r="AK47" s="101" t="s">
        <v>1331</v>
      </c>
      <c r="AL47" s="101" t="s">
        <v>1336</v>
      </c>
      <c r="AM47" s="101"/>
      <c r="AN47" s="101"/>
      <c r="AO47" s="101"/>
      <c r="AP47" s="101"/>
      <c r="AQ47" s="101"/>
      <c r="AR47" s="105"/>
      <c r="AS47" s="171"/>
    </row>
    <row r="48" spans="1:45">
      <c r="A48" s="131" t="s">
        <v>1224</v>
      </c>
      <c r="B48" s="156" t="s">
        <v>1337</v>
      </c>
      <c r="C48" s="156" t="s">
        <v>1321</v>
      </c>
      <c r="D48" s="156" t="s">
        <v>1395</v>
      </c>
      <c r="E48" s="156" t="s">
        <v>1603</v>
      </c>
      <c r="F48" s="156" t="s">
        <v>1721</v>
      </c>
      <c r="G48" s="157">
        <v>40694</v>
      </c>
      <c r="H48" s="158" t="s">
        <v>1918</v>
      </c>
      <c r="I48" s="158" t="s">
        <v>1985</v>
      </c>
      <c r="J48" s="156" t="s">
        <v>2142</v>
      </c>
      <c r="K48" s="156" t="s">
        <v>2157</v>
      </c>
      <c r="L48" s="156" t="s">
        <v>2167</v>
      </c>
      <c r="M48" s="156">
        <v>4</v>
      </c>
      <c r="N48" s="159">
        <v>327959</v>
      </c>
      <c r="O48" s="160">
        <v>1</v>
      </c>
      <c r="P48" s="160">
        <v>1</v>
      </c>
      <c r="Q48" s="160">
        <v>0</v>
      </c>
      <c r="R48" s="159">
        <v>1</v>
      </c>
      <c r="S48" s="157"/>
      <c r="T48" s="157"/>
      <c r="U48" s="161">
        <v>0</v>
      </c>
      <c r="V48" s="158" t="s">
        <v>852</v>
      </c>
      <c r="W48" s="158" t="s">
        <v>627</v>
      </c>
      <c r="X48" s="158"/>
      <c r="Y48" s="162" t="s">
        <v>2185</v>
      </c>
      <c r="Z48" s="163" t="s">
        <v>2191</v>
      </c>
      <c r="AA48" s="163">
        <v>1</v>
      </c>
      <c r="AB48" s="163">
        <v>4</v>
      </c>
      <c r="AC48" s="101">
        <v>1</v>
      </c>
      <c r="AD48" s="101">
        <v>4</v>
      </c>
      <c r="AE48" s="101" t="s">
        <v>2201</v>
      </c>
      <c r="AF48" s="102" t="str">
        <f>IF(ISERROR(VLOOKUP(AE48,小分類・セグメント!$A:$C,3,FALSE)),"",VLOOKUP(AE48,小分類・セグメント!$A:$C,3,FALSE))</f>
        <v>ECD</v>
      </c>
      <c r="AG48" s="103" t="str">
        <f>IF(ISERROR(VLOOKUP(AE48,小細分類・事業部マスタ!$E:$H,4,FALSE)),"",VLOOKUP(AE48,小細分類・事業部マスタ!$E:$H,4,FALSE))</f>
        <v>パワーデバイス事業部</v>
      </c>
      <c r="AH48" s="101" t="s">
        <v>2206</v>
      </c>
      <c r="AI48" s="104">
        <f>IF(ISERROR(VLOOKUP(AJ48,設置場所!$A:$B,2,FALSE)),"",VLOOKUP(AJ48,設置場所!$A:$B,2,FALSE))</f>
        <v>900000030</v>
      </c>
      <c r="AJ48" s="101" t="s">
        <v>2191</v>
      </c>
      <c r="AK48" s="101" t="s">
        <v>1331</v>
      </c>
      <c r="AL48" s="101" t="s">
        <v>1336</v>
      </c>
      <c r="AM48" s="101"/>
      <c r="AN48" s="101"/>
      <c r="AO48" s="101"/>
      <c r="AP48" s="101"/>
      <c r="AQ48" s="101"/>
      <c r="AR48" s="105"/>
      <c r="AS48" s="171"/>
    </row>
    <row r="49" spans="1:45">
      <c r="A49" s="131" t="s">
        <v>1224</v>
      </c>
      <c r="B49" s="156" t="s">
        <v>1337</v>
      </c>
      <c r="C49" s="156" t="s">
        <v>1321</v>
      </c>
      <c r="D49" s="156" t="s">
        <v>1396</v>
      </c>
      <c r="E49" s="156" t="s">
        <v>1603</v>
      </c>
      <c r="F49" s="156" t="s">
        <v>1722</v>
      </c>
      <c r="G49" s="157">
        <v>41612</v>
      </c>
      <c r="H49" s="158" t="s">
        <v>1922</v>
      </c>
      <c r="I49" s="158" t="s">
        <v>1986</v>
      </c>
      <c r="J49" s="156" t="s">
        <v>2142</v>
      </c>
      <c r="K49" s="156" t="s">
        <v>2157</v>
      </c>
      <c r="L49" s="156" t="s">
        <v>2168</v>
      </c>
      <c r="M49" s="156">
        <v>4</v>
      </c>
      <c r="N49" s="159">
        <v>178000</v>
      </c>
      <c r="O49" s="160">
        <v>1</v>
      </c>
      <c r="P49" s="160">
        <v>1</v>
      </c>
      <c r="Q49" s="160">
        <v>0</v>
      </c>
      <c r="R49" s="159">
        <v>1</v>
      </c>
      <c r="S49" s="157"/>
      <c r="T49" s="157"/>
      <c r="U49" s="161">
        <v>0</v>
      </c>
      <c r="V49" s="158" t="s">
        <v>852</v>
      </c>
      <c r="W49" s="158" t="s">
        <v>627</v>
      </c>
      <c r="X49" s="158"/>
      <c r="Y49" s="162" t="s">
        <v>2185</v>
      </c>
      <c r="Z49" s="163" t="s">
        <v>2191</v>
      </c>
      <c r="AA49" s="163">
        <v>1</v>
      </c>
      <c r="AB49" s="163">
        <v>4</v>
      </c>
      <c r="AC49" s="101">
        <v>1</v>
      </c>
      <c r="AD49" s="101">
        <v>4</v>
      </c>
      <c r="AE49" s="101" t="s">
        <v>2201</v>
      </c>
      <c r="AF49" s="102" t="str">
        <f>IF(ISERROR(VLOOKUP(AE49,小分類・セグメント!$A:$C,3,FALSE)),"",VLOOKUP(AE49,小分類・セグメント!$A:$C,3,FALSE))</f>
        <v>ECD</v>
      </c>
      <c r="AG49" s="103" t="str">
        <f>IF(ISERROR(VLOOKUP(AE49,小細分類・事業部マスタ!$E:$H,4,FALSE)),"",VLOOKUP(AE49,小細分類・事業部マスタ!$E:$H,4,FALSE))</f>
        <v>パワーデバイス事業部</v>
      </c>
      <c r="AH49" s="101" t="s">
        <v>2206</v>
      </c>
      <c r="AI49" s="104">
        <f>IF(ISERROR(VLOOKUP(AJ49,設置場所!$A:$B,2,FALSE)),"",VLOOKUP(AJ49,設置場所!$A:$B,2,FALSE))</f>
        <v>900000030</v>
      </c>
      <c r="AJ49" s="101" t="s">
        <v>2191</v>
      </c>
      <c r="AK49" s="101" t="s">
        <v>1331</v>
      </c>
      <c r="AL49" s="101" t="s">
        <v>1336</v>
      </c>
      <c r="AM49" s="101"/>
      <c r="AN49" s="101"/>
      <c r="AO49" s="101"/>
      <c r="AP49" s="101"/>
      <c r="AQ49" s="101"/>
      <c r="AR49" s="105"/>
      <c r="AS49" s="171"/>
    </row>
    <row r="50" spans="1:45">
      <c r="A50" s="131" t="s">
        <v>1224</v>
      </c>
      <c r="B50" s="156" t="s">
        <v>1337</v>
      </c>
      <c r="C50" s="156" t="s">
        <v>1321</v>
      </c>
      <c r="D50" s="156" t="s">
        <v>1397</v>
      </c>
      <c r="E50" s="156" t="s">
        <v>1604</v>
      </c>
      <c r="F50" s="156" t="s">
        <v>1723</v>
      </c>
      <c r="G50" s="157">
        <v>40603</v>
      </c>
      <c r="H50" s="158" t="s">
        <v>1918</v>
      </c>
      <c r="I50" s="158" t="s">
        <v>1987</v>
      </c>
      <c r="J50" s="156" t="s">
        <v>2143</v>
      </c>
      <c r="K50" s="156" t="s">
        <v>2158</v>
      </c>
      <c r="L50" s="156" t="s">
        <v>2167</v>
      </c>
      <c r="M50" s="156">
        <v>4</v>
      </c>
      <c r="N50" s="159">
        <v>9134125</v>
      </c>
      <c r="O50" s="160">
        <v>1</v>
      </c>
      <c r="P50" s="160">
        <v>1</v>
      </c>
      <c r="Q50" s="160">
        <v>0</v>
      </c>
      <c r="R50" s="159">
        <v>1</v>
      </c>
      <c r="S50" s="157"/>
      <c r="T50" s="157"/>
      <c r="U50" s="161">
        <v>0</v>
      </c>
      <c r="V50" s="158" t="s">
        <v>852</v>
      </c>
      <c r="W50" s="158" t="s">
        <v>627</v>
      </c>
      <c r="X50" s="158"/>
      <c r="Y50" s="162" t="s">
        <v>2185</v>
      </c>
      <c r="Z50" s="163" t="s">
        <v>2191</v>
      </c>
      <c r="AA50" s="163">
        <v>1</v>
      </c>
      <c r="AB50" s="163">
        <v>1</v>
      </c>
      <c r="AC50" s="101">
        <v>1</v>
      </c>
      <c r="AD50" s="101">
        <v>1</v>
      </c>
      <c r="AE50" s="101" t="s">
        <v>2201</v>
      </c>
      <c r="AF50" s="102" t="str">
        <f>IF(ISERROR(VLOOKUP(AE50,小分類・セグメント!$A:$C,3,FALSE)),"",VLOOKUP(AE50,小分類・セグメント!$A:$C,3,FALSE))</f>
        <v>ECD</v>
      </c>
      <c r="AG50" s="103" t="str">
        <f>IF(ISERROR(VLOOKUP(AE50,小細分類・事業部マスタ!$E:$H,4,FALSE)),"",VLOOKUP(AE50,小細分類・事業部マスタ!$E:$H,4,FALSE))</f>
        <v>パワーデバイス事業部</v>
      </c>
      <c r="AH50" s="101" t="s">
        <v>2206</v>
      </c>
      <c r="AI50" s="104">
        <f>IF(ISERROR(VLOOKUP(AJ50,設置場所!$A:$B,2,FALSE)),"",VLOOKUP(AJ50,設置場所!$A:$B,2,FALSE))</f>
        <v>900000030</v>
      </c>
      <c r="AJ50" s="101" t="s">
        <v>2191</v>
      </c>
      <c r="AK50" s="101" t="s">
        <v>1331</v>
      </c>
      <c r="AL50" s="101" t="s">
        <v>1336</v>
      </c>
      <c r="AM50" s="101"/>
      <c r="AN50" s="101"/>
      <c r="AO50" s="101"/>
      <c r="AP50" s="101"/>
      <c r="AQ50" s="101"/>
      <c r="AR50" s="105"/>
      <c r="AS50" s="171"/>
    </row>
    <row r="51" spans="1:45">
      <c r="A51" s="131" t="s">
        <v>1224</v>
      </c>
      <c r="B51" s="156" t="s">
        <v>1337</v>
      </c>
      <c r="C51" s="156" t="s">
        <v>1321</v>
      </c>
      <c r="D51" s="156" t="s">
        <v>1398</v>
      </c>
      <c r="E51" s="156"/>
      <c r="F51" s="156" t="s">
        <v>1724</v>
      </c>
      <c r="G51" s="157">
        <v>42479</v>
      </c>
      <c r="H51" s="158" t="s">
        <v>1918</v>
      </c>
      <c r="I51" s="158" t="s">
        <v>1988</v>
      </c>
      <c r="J51" s="156" t="s">
        <v>2143</v>
      </c>
      <c r="K51" s="156" t="s">
        <v>2158</v>
      </c>
      <c r="L51" s="156" t="s">
        <v>2168</v>
      </c>
      <c r="M51" s="156">
        <v>8</v>
      </c>
      <c r="N51" s="159">
        <v>531000</v>
      </c>
      <c r="O51" s="160">
        <v>1</v>
      </c>
      <c r="P51" s="160">
        <v>1</v>
      </c>
      <c r="Q51" s="160">
        <v>0</v>
      </c>
      <c r="R51" s="159">
        <v>1</v>
      </c>
      <c r="S51" s="157"/>
      <c r="T51" s="157">
        <v>44286</v>
      </c>
      <c r="U51" s="161">
        <v>126008</v>
      </c>
      <c r="V51" s="158" t="s">
        <v>852</v>
      </c>
      <c r="W51" s="158" t="s">
        <v>627</v>
      </c>
      <c r="X51" s="158"/>
      <c r="Y51" s="162" t="s">
        <v>2185</v>
      </c>
      <c r="Z51" s="163" t="s">
        <v>2191</v>
      </c>
      <c r="AA51" s="163">
        <v>1</v>
      </c>
      <c r="AB51" s="163">
        <v>1</v>
      </c>
      <c r="AC51" s="101">
        <v>1</v>
      </c>
      <c r="AD51" s="101">
        <v>1</v>
      </c>
      <c r="AE51" s="101" t="s">
        <v>2201</v>
      </c>
      <c r="AF51" s="102" t="str">
        <f>IF(ISERROR(VLOOKUP(AE51,小分類・セグメント!$A:$C,3,FALSE)),"",VLOOKUP(AE51,小分類・セグメント!$A:$C,3,FALSE))</f>
        <v>ECD</v>
      </c>
      <c r="AG51" s="103" t="str">
        <f>IF(ISERROR(VLOOKUP(AE51,小細分類・事業部マスタ!$E:$H,4,FALSE)),"",VLOOKUP(AE51,小細分類・事業部マスタ!$E:$H,4,FALSE))</f>
        <v>パワーデバイス事業部</v>
      </c>
      <c r="AH51" s="101" t="s">
        <v>2206</v>
      </c>
      <c r="AI51" s="104">
        <f>IF(ISERROR(VLOOKUP(AJ51,設置場所!$A:$B,2,FALSE)),"",VLOOKUP(AJ51,設置場所!$A:$B,2,FALSE))</f>
        <v>900000030</v>
      </c>
      <c r="AJ51" s="101" t="s">
        <v>2191</v>
      </c>
      <c r="AK51" s="101" t="s">
        <v>1331</v>
      </c>
      <c r="AL51" s="101" t="s">
        <v>1336</v>
      </c>
      <c r="AM51" s="101"/>
      <c r="AN51" s="101"/>
      <c r="AO51" s="101"/>
      <c r="AP51" s="101"/>
      <c r="AQ51" s="101"/>
      <c r="AR51" s="105"/>
      <c r="AS51" s="171"/>
    </row>
    <row r="52" spans="1:45">
      <c r="A52" s="131" t="s">
        <v>1224</v>
      </c>
      <c r="B52" s="156" t="s">
        <v>1337</v>
      </c>
      <c r="C52" s="156" t="s">
        <v>1321</v>
      </c>
      <c r="D52" s="156" t="s">
        <v>1399</v>
      </c>
      <c r="E52" s="156"/>
      <c r="F52" s="156" t="s">
        <v>1725</v>
      </c>
      <c r="G52" s="157">
        <v>40716</v>
      </c>
      <c r="H52" s="158" t="s">
        <v>1918</v>
      </c>
      <c r="I52" s="158" t="s">
        <v>1989</v>
      </c>
      <c r="J52" s="156" t="s">
        <v>2141</v>
      </c>
      <c r="K52" s="156" t="s">
        <v>2156</v>
      </c>
      <c r="L52" s="156" t="s">
        <v>2167</v>
      </c>
      <c r="M52" s="156">
        <v>4</v>
      </c>
      <c r="N52" s="159">
        <v>5103300</v>
      </c>
      <c r="O52" s="160">
        <v>1</v>
      </c>
      <c r="P52" s="160">
        <v>1</v>
      </c>
      <c r="Q52" s="160">
        <v>0</v>
      </c>
      <c r="R52" s="159">
        <v>1</v>
      </c>
      <c r="S52" s="157"/>
      <c r="T52" s="157"/>
      <c r="U52" s="161">
        <v>0</v>
      </c>
      <c r="V52" s="158" t="s">
        <v>852</v>
      </c>
      <c r="W52" s="158" t="s">
        <v>627</v>
      </c>
      <c r="X52" s="158"/>
      <c r="Y52" s="162" t="s">
        <v>2185</v>
      </c>
      <c r="Z52" s="163" t="s">
        <v>2191</v>
      </c>
      <c r="AA52" s="163">
        <v>1</v>
      </c>
      <c r="AB52" s="163">
        <v>1</v>
      </c>
      <c r="AC52" s="101">
        <v>1</v>
      </c>
      <c r="AD52" s="101">
        <v>1</v>
      </c>
      <c r="AE52" s="101" t="s">
        <v>2201</v>
      </c>
      <c r="AF52" s="102" t="str">
        <f>IF(ISERROR(VLOOKUP(AE52,小分類・セグメント!$A:$C,3,FALSE)),"",VLOOKUP(AE52,小分類・セグメント!$A:$C,3,FALSE))</f>
        <v>ECD</v>
      </c>
      <c r="AG52" s="103" t="str">
        <f>IF(ISERROR(VLOOKUP(AE52,小細分類・事業部マスタ!$E:$H,4,FALSE)),"",VLOOKUP(AE52,小細分類・事業部マスタ!$E:$H,4,FALSE))</f>
        <v>パワーデバイス事業部</v>
      </c>
      <c r="AH52" s="101" t="s">
        <v>2205</v>
      </c>
      <c r="AI52" s="104">
        <f>IF(ISERROR(VLOOKUP(AJ52,設置場所!$A:$B,2,FALSE)),"",VLOOKUP(AJ52,設置場所!$A:$B,2,FALSE))</f>
        <v>900000030</v>
      </c>
      <c r="AJ52" s="101" t="s">
        <v>2191</v>
      </c>
      <c r="AK52" s="101" t="s">
        <v>1331</v>
      </c>
      <c r="AL52" s="101" t="s">
        <v>1336</v>
      </c>
      <c r="AM52" s="101"/>
      <c r="AN52" s="101"/>
      <c r="AO52" s="101"/>
      <c r="AP52" s="101"/>
      <c r="AQ52" s="101"/>
      <c r="AR52" s="105"/>
      <c r="AS52" s="171"/>
    </row>
    <row r="53" spans="1:45">
      <c r="A53" s="131" t="s">
        <v>1224</v>
      </c>
      <c r="B53" s="156" t="s">
        <v>1337</v>
      </c>
      <c r="C53" s="156" t="s">
        <v>1321</v>
      </c>
      <c r="D53" s="156" t="s">
        <v>1400</v>
      </c>
      <c r="E53" s="156"/>
      <c r="F53" s="156" t="s">
        <v>1726</v>
      </c>
      <c r="G53" s="157">
        <v>41701</v>
      </c>
      <c r="H53" s="158" t="s">
        <v>1918</v>
      </c>
      <c r="I53" s="158" t="s">
        <v>1990</v>
      </c>
      <c r="J53" s="156" t="s">
        <v>2141</v>
      </c>
      <c r="K53" s="156" t="s">
        <v>2156</v>
      </c>
      <c r="L53" s="156" t="s">
        <v>2168</v>
      </c>
      <c r="M53" s="156">
        <v>4</v>
      </c>
      <c r="N53" s="159">
        <v>332000</v>
      </c>
      <c r="O53" s="160">
        <v>1</v>
      </c>
      <c r="P53" s="160">
        <v>1</v>
      </c>
      <c r="Q53" s="160">
        <v>0</v>
      </c>
      <c r="R53" s="159">
        <v>1</v>
      </c>
      <c r="S53" s="157"/>
      <c r="T53" s="157"/>
      <c r="U53" s="161">
        <v>0</v>
      </c>
      <c r="V53" s="158" t="s">
        <v>852</v>
      </c>
      <c r="W53" s="158" t="s">
        <v>627</v>
      </c>
      <c r="X53" s="158"/>
      <c r="Y53" s="162" t="s">
        <v>2185</v>
      </c>
      <c r="Z53" s="163" t="s">
        <v>2191</v>
      </c>
      <c r="AA53" s="163">
        <v>1</v>
      </c>
      <c r="AB53" s="163">
        <v>1</v>
      </c>
      <c r="AC53" s="101">
        <v>1</v>
      </c>
      <c r="AD53" s="101">
        <v>1</v>
      </c>
      <c r="AE53" s="101" t="s">
        <v>2201</v>
      </c>
      <c r="AF53" s="102" t="str">
        <f>IF(ISERROR(VLOOKUP(AE53,小分類・セグメント!$A:$C,3,FALSE)),"",VLOOKUP(AE53,小分類・セグメント!$A:$C,3,FALSE))</f>
        <v>ECD</v>
      </c>
      <c r="AG53" s="103" t="str">
        <f>IF(ISERROR(VLOOKUP(AE53,小細分類・事業部マスタ!$E:$H,4,FALSE)),"",VLOOKUP(AE53,小細分類・事業部マスタ!$E:$H,4,FALSE))</f>
        <v>パワーデバイス事業部</v>
      </c>
      <c r="AH53" s="101" t="s">
        <v>2205</v>
      </c>
      <c r="AI53" s="104">
        <f>IF(ISERROR(VLOOKUP(AJ53,設置場所!$A:$B,2,FALSE)),"",VLOOKUP(AJ53,設置場所!$A:$B,2,FALSE))</f>
        <v>900000030</v>
      </c>
      <c r="AJ53" s="101" t="s">
        <v>2191</v>
      </c>
      <c r="AK53" s="101" t="s">
        <v>1331</v>
      </c>
      <c r="AL53" s="101" t="s">
        <v>1336</v>
      </c>
      <c r="AM53" s="101"/>
      <c r="AN53" s="101"/>
      <c r="AO53" s="101"/>
      <c r="AP53" s="101"/>
      <c r="AQ53" s="101"/>
      <c r="AR53" s="105"/>
      <c r="AS53" s="171"/>
    </row>
    <row r="54" spans="1:45">
      <c r="A54" s="131" t="s">
        <v>1224</v>
      </c>
      <c r="B54" s="156" t="s">
        <v>1337</v>
      </c>
      <c r="C54" s="156" t="s">
        <v>1321</v>
      </c>
      <c r="D54" s="156" t="s">
        <v>1401</v>
      </c>
      <c r="E54" s="156" t="s">
        <v>1605</v>
      </c>
      <c r="F54" s="156" t="s">
        <v>1727</v>
      </c>
      <c r="G54" s="157">
        <v>40751</v>
      </c>
      <c r="H54" s="158" t="s">
        <v>1922</v>
      </c>
      <c r="I54" s="158" t="s">
        <v>1991</v>
      </c>
      <c r="J54" s="156" t="s">
        <v>2140</v>
      </c>
      <c r="K54" s="156" t="s">
        <v>2155</v>
      </c>
      <c r="L54" s="156" t="s">
        <v>2167</v>
      </c>
      <c r="M54" s="156">
        <v>4</v>
      </c>
      <c r="N54" s="159">
        <v>3949500</v>
      </c>
      <c r="O54" s="160">
        <v>1</v>
      </c>
      <c r="P54" s="160">
        <v>1</v>
      </c>
      <c r="Q54" s="160">
        <v>0</v>
      </c>
      <c r="R54" s="159">
        <v>1</v>
      </c>
      <c r="S54" s="157"/>
      <c r="T54" s="157"/>
      <c r="U54" s="161">
        <v>0</v>
      </c>
      <c r="V54" s="158" t="s">
        <v>852</v>
      </c>
      <c r="W54" s="158" t="s">
        <v>627</v>
      </c>
      <c r="X54" s="158"/>
      <c r="Y54" s="162" t="s">
        <v>2185</v>
      </c>
      <c r="Z54" s="163" t="s">
        <v>2191</v>
      </c>
      <c r="AA54" s="163">
        <v>1</v>
      </c>
      <c r="AB54" s="163">
        <v>1</v>
      </c>
      <c r="AC54" s="101">
        <v>1</v>
      </c>
      <c r="AD54" s="101">
        <v>1</v>
      </c>
      <c r="AE54" s="101" t="s">
        <v>2201</v>
      </c>
      <c r="AF54" s="102" t="str">
        <f>IF(ISERROR(VLOOKUP(AE54,小分類・セグメント!$A:$C,3,FALSE)),"",VLOOKUP(AE54,小分類・セグメント!$A:$C,3,FALSE))</f>
        <v>ECD</v>
      </c>
      <c r="AG54" s="103" t="str">
        <f>IF(ISERROR(VLOOKUP(AE54,小細分類・事業部マスタ!$E:$H,4,FALSE)),"",VLOOKUP(AE54,小細分類・事業部マスタ!$E:$H,4,FALSE))</f>
        <v>パワーデバイス事業部</v>
      </c>
      <c r="AH54" s="101" t="s">
        <v>2206</v>
      </c>
      <c r="AI54" s="104">
        <f>IF(ISERROR(VLOOKUP(AJ54,設置場所!$A:$B,2,FALSE)),"",VLOOKUP(AJ54,設置場所!$A:$B,2,FALSE))</f>
        <v>900000030</v>
      </c>
      <c r="AJ54" s="101" t="s">
        <v>2191</v>
      </c>
      <c r="AK54" s="101" t="s">
        <v>1331</v>
      </c>
      <c r="AL54" s="101" t="s">
        <v>1336</v>
      </c>
      <c r="AM54" s="101"/>
      <c r="AN54" s="101"/>
      <c r="AO54" s="101"/>
      <c r="AP54" s="101"/>
      <c r="AQ54" s="101"/>
      <c r="AR54" s="105"/>
      <c r="AS54" s="171"/>
    </row>
    <row r="55" spans="1:45">
      <c r="A55" s="131" t="s">
        <v>1224</v>
      </c>
      <c r="B55" s="156" t="s">
        <v>1337</v>
      </c>
      <c r="C55" s="156" t="s">
        <v>1321</v>
      </c>
      <c r="D55" s="156" t="s">
        <v>1402</v>
      </c>
      <c r="E55" s="156" t="s">
        <v>1605</v>
      </c>
      <c r="F55" s="156" t="s">
        <v>1728</v>
      </c>
      <c r="G55" s="157">
        <v>41612</v>
      </c>
      <c r="H55" s="158" t="s">
        <v>1922</v>
      </c>
      <c r="I55" s="158" t="s">
        <v>1992</v>
      </c>
      <c r="J55" s="156" t="s">
        <v>2140</v>
      </c>
      <c r="K55" s="156" t="s">
        <v>2155</v>
      </c>
      <c r="L55" s="156" t="s">
        <v>2168</v>
      </c>
      <c r="M55" s="156">
        <v>4</v>
      </c>
      <c r="N55" s="159">
        <v>178000</v>
      </c>
      <c r="O55" s="160">
        <v>1</v>
      </c>
      <c r="P55" s="160">
        <v>1</v>
      </c>
      <c r="Q55" s="160">
        <v>0</v>
      </c>
      <c r="R55" s="159">
        <v>1</v>
      </c>
      <c r="S55" s="157"/>
      <c r="T55" s="157"/>
      <c r="U55" s="161">
        <v>0</v>
      </c>
      <c r="V55" s="158" t="s">
        <v>852</v>
      </c>
      <c r="W55" s="158" t="s">
        <v>627</v>
      </c>
      <c r="X55" s="158"/>
      <c r="Y55" s="162" t="s">
        <v>2185</v>
      </c>
      <c r="Z55" s="163" t="s">
        <v>2191</v>
      </c>
      <c r="AA55" s="163">
        <v>1</v>
      </c>
      <c r="AB55" s="163">
        <v>1</v>
      </c>
      <c r="AC55" s="101">
        <v>1</v>
      </c>
      <c r="AD55" s="101">
        <v>1</v>
      </c>
      <c r="AE55" s="101" t="s">
        <v>2201</v>
      </c>
      <c r="AF55" s="102" t="str">
        <f>IF(ISERROR(VLOOKUP(AE55,小分類・セグメント!$A:$C,3,FALSE)),"",VLOOKUP(AE55,小分類・セグメント!$A:$C,3,FALSE))</f>
        <v>ECD</v>
      </c>
      <c r="AG55" s="103" t="str">
        <f>IF(ISERROR(VLOOKUP(AE55,小細分類・事業部マスタ!$E:$H,4,FALSE)),"",VLOOKUP(AE55,小細分類・事業部マスタ!$E:$H,4,FALSE))</f>
        <v>パワーデバイス事業部</v>
      </c>
      <c r="AH55" s="101" t="s">
        <v>2206</v>
      </c>
      <c r="AI55" s="104">
        <f>IF(ISERROR(VLOOKUP(AJ55,設置場所!$A:$B,2,FALSE)),"",VLOOKUP(AJ55,設置場所!$A:$B,2,FALSE))</f>
        <v>900000030</v>
      </c>
      <c r="AJ55" s="101" t="s">
        <v>2191</v>
      </c>
      <c r="AK55" s="101" t="s">
        <v>1331</v>
      </c>
      <c r="AL55" s="101" t="s">
        <v>1336</v>
      </c>
      <c r="AM55" s="101"/>
      <c r="AN55" s="101"/>
      <c r="AO55" s="101"/>
      <c r="AP55" s="101"/>
      <c r="AQ55" s="101"/>
      <c r="AR55" s="105"/>
      <c r="AS55" s="171"/>
    </row>
    <row r="56" spans="1:45">
      <c r="A56" s="131" t="s">
        <v>1224</v>
      </c>
      <c r="B56" s="156" t="s">
        <v>1337</v>
      </c>
      <c r="C56" s="156" t="s">
        <v>1321</v>
      </c>
      <c r="D56" s="156" t="s">
        <v>1403</v>
      </c>
      <c r="E56" s="156" t="s">
        <v>1606</v>
      </c>
      <c r="F56" s="156" t="s">
        <v>1729</v>
      </c>
      <c r="G56" s="157">
        <v>40787</v>
      </c>
      <c r="H56" s="158" t="s">
        <v>1918</v>
      </c>
      <c r="I56" s="158" t="s">
        <v>1993</v>
      </c>
      <c r="J56" s="156" t="s">
        <v>2141</v>
      </c>
      <c r="K56" s="156" t="s">
        <v>2156</v>
      </c>
      <c r="L56" s="156" t="s">
        <v>2167</v>
      </c>
      <c r="M56" s="156">
        <v>4</v>
      </c>
      <c r="N56" s="159">
        <v>1989000</v>
      </c>
      <c r="O56" s="160">
        <v>1</v>
      </c>
      <c r="P56" s="160">
        <v>1</v>
      </c>
      <c r="Q56" s="160">
        <v>0</v>
      </c>
      <c r="R56" s="159">
        <v>1</v>
      </c>
      <c r="S56" s="157"/>
      <c r="T56" s="157"/>
      <c r="U56" s="161">
        <v>0</v>
      </c>
      <c r="V56" s="158" t="s">
        <v>852</v>
      </c>
      <c r="W56" s="158" t="s">
        <v>627</v>
      </c>
      <c r="X56" s="158"/>
      <c r="Y56" s="162" t="s">
        <v>2185</v>
      </c>
      <c r="Z56" s="163" t="s">
        <v>2191</v>
      </c>
      <c r="AA56" s="163">
        <v>1</v>
      </c>
      <c r="AB56" s="163">
        <v>1</v>
      </c>
      <c r="AC56" s="101">
        <v>1</v>
      </c>
      <c r="AD56" s="101">
        <v>1</v>
      </c>
      <c r="AE56" s="101" t="s">
        <v>2201</v>
      </c>
      <c r="AF56" s="102" t="str">
        <f>IF(ISERROR(VLOOKUP(AE56,小分類・セグメント!$A:$C,3,FALSE)),"",VLOOKUP(AE56,小分類・セグメント!$A:$C,3,FALSE))</f>
        <v>ECD</v>
      </c>
      <c r="AG56" s="103" t="str">
        <f>IF(ISERROR(VLOOKUP(AE56,小細分類・事業部マスタ!$E:$H,4,FALSE)),"",VLOOKUP(AE56,小細分類・事業部マスタ!$E:$H,4,FALSE))</f>
        <v>パワーデバイス事業部</v>
      </c>
      <c r="AH56" s="101" t="s">
        <v>2206</v>
      </c>
      <c r="AI56" s="104">
        <f>IF(ISERROR(VLOOKUP(AJ56,設置場所!$A:$B,2,FALSE)),"",VLOOKUP(AJ56,設置場所!$A:$B,2,FALSE))</f>
        <v>900000030</v>
      </c>
      <c r="AJ56" s="101" t="s">
        <v>2191</v>
      </c>
      <c r="AK56" s="101" t="s">
        <v>1331</v>
      </c>
      <c r="AL56" s="101" t="s">
        <v>1336</v>
      </c>
      <c r="AM56" s="101"/>
      <c r="AN56" s="101"/>
      <c r="AO56" s="101"/>
      <c r="AP56" s="101"/>
      <c r="AQ56" s="101"/>
      <c r="AR56" s="105"/>
      <c r="AS56" s="171"/>
    </row>
    <row r="57" spans="1:45">
      <c r="A57" s="131" t="s">
        <v>1224</v>
      </c>
      <c r="B57" s="156" t="s">
        <v>1337</v>
      </c>
      <c r="C57" s="156" t="s">
        <v>1321</v>
      </c>
      <c r="D57" s="156" t="s">
        <v>1404</v>
      </c>
      <c r="E57" s="156" t="s">
        <v>1607</v>
      </c>
      <c r="F57" s="156" t="s">
        <v>1730</v>
      </c>
      <c r="G57" s="157">
        <v>41212</v>
      </c>
      <c r="H57" s="158" t="s">
        <v>1922</v>
      </c>
      <c r="I57" s="158" t="s">
        <v>1994</v>
      </c>
      <c r="J57" s="156" t="s">
        <v>2140</v>
      </c>
      <c r="K57" s="156" t="s">
        <v>2155</v>
      </c>
      <c r="L57" s="156" t="s">
        <v>2168</v>
      </c>
      <c r="M57" s="156">
        <v>4</v>
      </c>
      <c r="N57" s="159">
        <v>3900000</v>
      </c>
      <c r="O57" s="160">
        <v>1</v>
      </c>
      <c r="P57" s="160">
        <v>1</v>
      </c>
      <c r="Q57" s="160">
        <v>0</v>
      </c>
      <c r="R57" s="159">
        <v>1</v>
      </c>
      <c r="S57" s="157"/>
      <c r="T57" s="157"/>
      <c r="U57" s="161">
        <v>0</v>
      </c>
      <c r="V57" s="158" t="s">
        <v>852</v>
      </c>
      <c r="W57" s="158" t="s">
        <v>627</v>
      </c>
      <c r="X57" s="158"/>
      <c r="Y57" s="162" t="s">
        <v>2185</v>
      </c>
      <c r="Z57" s="163" t="s">
        <v>2191</v>
      </c>
      <c r="AA57" s="163">
        <v>1</v>
      </c>
      <c r="AB57" s="163">
        <v>1</v>
      </c>
      <c r="AC57" s="101">
        <v>1</v>
      </c>
      <c r="AD57" s="101">
        <v>1</v>
      </c>
      <c r="AE57" s="101" t="s">
        <v>2201</v>
      </c>
      <c r="AF57" s="102" t="str">
        <f>IF(ISERROR(VLOOKUP(AE57,小分類・セグメント!$A:$C,3,FALSE)),"",VLOOKUP(AE57,小分類・セグメント!$A:$C,3,FALSE))</f>
        <v>ECD</v>
      </c>
      <c r="AG57" s="103" t="str">
        <f>IF(ISERROR(VLOOKUP(AE57,小細分類・事業部マスタ!$E:$H,4,FALSE)),"",VLOOKUP(AE57,小細分類・事業部マスタ!$E:$H,4,FALSE))</f>
        <v>パワーデバイス事業部</v>
      </c>
      <c r="AH57" s="101" t="s">
        <v>2206</v>
      </c>
      <c r="AI57" s="104">
        <f>IF(ISERROR(VLOOKUP(AJ57,設置場所!$A:$B,2,FALSE)),"",VLOOKUP(AJ57,設置場所!$A:$B,2,FALSE))</f>
        <v>900000030</v>
      </c>
      <c r="AJ57" s="101" t="s">
        <v>2191</v>
      </c>
      <c r="AK57" s="101" t="s">
        <v>1331</v>
      </c>
      <c r="AL57" s="101" t="s">
        <v>1336</v>
      </c>
      <c r="AM57" s="101"/>
      <c r="AN57" s="101"/>
      <c r="AO57" s="101"/>
      <c r="AP57" s="101"/>
      <c r="AQ57" s="101"/>
      <c r="AR57" s="105"/>
      <c r="AS57" s="171"/>
    </row>
    <row r="58" spans="1:45">
      <c r="A58" s="131" t="s">
        <v>1224</v>
      </c>
      <c r="B58" s="156" t="s">
        <v>1337</v>
      </c>
      <c r="C58" s="156" t="s">
        <v>1321</v>
      </c>
      <c r="D58" s="156" t="s">
        <v>1405</v>
      </c>
      <c r="E58" s="156" t="s">
        <v>1607</v>
      </c>
      <c r="F58" s="156" t="s">
        <v>1731</v>
      </c>
      <c r="G58" s="157">
        <v>41612</v>
      </c>
      <c r="H58" s="158" t="s">
        <v>1922</v>
      </c>
      <c r="I58" s="158" t="s">
        <v>1995</v>
      </c>
      <c r="J58" s="156" t="s">
        <v>2140</v>
      </c>
      <c r="K58" s="156" t="s">
        <v>2155</v>
      </c>
      <c r="L58" s="156" t="s">
        <v>2168</v>
      </c>
      <c r="M58" s="156">
        <v>4</v>
      </c>
      <c r="N58" s="159">
        <v>178000</v>
      </c>
      <c r="O58" s="160">
        <v>1</v>
      </c>
      <c r="P58" s="160">
        <v>1</v>
      </c>
      <c r="Q58" s="160">
        <v>0</v>
      </c>
      <c r="R58" s="159">
        <v>1</v>
      </c>
      <c r="S58" s="157"/>
      <c r="T58" s="157"/>
      <c r="U58" s="161">
        <v>0</v>
      </c>
      <c r="V58" s="158" t="s">
        <v>852</v>
      </c>
      <c r="W58" s="158" t="s">
        <v>627</v>
      </c>
      <c r="X58" s="158"/>
      <c r="Y58" s="162" t="s">
        <v>2185</v>
      </c>
      <c r="Z58" s="163" t="s">
        <v>2191</v>
      </c>
      <c r="AA58" s="163">
        <v>1</v>
      </c>
      <c r="AB58" s="163">
        <v>1</v>
      </c>
      <c r="AC58" s="101">
        <v>1</v>
      </c>
      <c r="AD58" s="101">
        <v>1</v>
      </c>
      <c r="AE58" s="101" t="s">
        <v>2201</v>
      </c>
      <c r="AF58" s="102" t="str">
        <f>IF(ISERROR(VLOOKUP(AE58,小分類・セグメント!$A:$C,3,FALSE)),"",VLOOKUP(AE58,小分類・セグメント!$A:$C,3,FALSE))</f>
        <v>ECD</v>
      </c>
      <c r="AG58" s="103" t="str">
        <f>IF(ISERROR(VLOOKUP(AE58,小細分類・事業部マスタ!$E:$H,4,FALSE)),"",VLOOKUP(AE58,小細分類・事業部マスタ!$E:$H,4,FALSE))</f>
        <v>パワーデバイス事業部</v>
      </c>
      <c r="AH58" s="101" t="s">
        <v>2206</v>
      </c>
      <c r="AI58" s="104">
        <f>IF(ISERROR(VLOOKUP(AJ58,設置場所!$A:$B,2,FALSE)),"",VLOOKUP(AJ58,設置場所!$A:$B,2,FALSE))</f>
        <v>900000030</v>
      </c>
      <c r="AJ58" s="101" t="s">
        <v>2191</v>
      </c>
      <c r="AK58" s="101" t="s">
        <v>1331</v>
      </c>
      <c r="AL58" s="101" t="s">
        <v>1336</v>
      </c>
      <c r="AM58" s="101"/>
      <c r="AN58" s="101"/>
      <c r="AO58" s="101"/>
      <c r="AP58" s="101"/>
      <c r="AQ58" s="101"/>
      <c r="AR58" s="105"/>
      <c r="AS58" s="171"/>
    </row>
    <row r="59" spans="1:45">
      <c r="A59" s="131" t="s">
        <v>1224</v>
      </c>
      <c r="B59" s="156" t="s">
        <v>1337</v>
      </c>
      <c r="C59" s="156" t="s">
        <v>1321</v>
      </c>
      <c r="D59" s="156" t="s">
        <v>1406</v>
      </c>
      <c r="E59" s="156" t="s">
        <v>1608</v>
      </c>
      <c r="F59" s="156" t="s">
        <v>1732</v>
      </c>
      <c r="G59" s="157">
        <v>41212</v>
      </c>
      <c r="H59" s="158" t="s">
        <v>1922</v>
      </c>
      <c r="I59" s="158" t="s">
        <v>1994</v>
      </c>
      <c r="J59" s="156" t="s">
        <v>2140</v>
      </c>
      <c r="K59" s="156" t="s">
        <v>2155</v>
      </c>
      <c r="L59" s="156" t="s">
        <v>2168</v>
      </c>
      <c r="M59" s="156">
        <v>4</v>
      </c>
      <c r="N59" s="159">
        <v>3900000</v>
      </c>
      <c r="O59" s="160">
        <v>1</v>
      </c>
      <c r="P59" s="160">
        <v>1</v>
      </c>
      <c r="Q59" s="160">
        <v>0</v>
      </c>
      <c r="R59" s="159">
        <v>1</v>
      </c>
      <c r="S59" s="157"/>
      <c r="T59" s="157"/>
      <c r="U59" s="161">
        <v>0</v>
      </c>
      <c r="V59" s="158" t="s">
        <v>852</v>
      </c>
      <c r="W59" s="158" t="s">
        <v>627</v>
      </c>
      <c r="X59" s="158"/>
      <c r="Y59" s="162" t="s">
        <v>2185</v>
      </c>
      <c r="Z59" s="163" t="s">
        <v>2191</v>
      </c>
      <c r="AA59" s="163">
        <v>1</v>
      </c>
      <c r="AB59" s="163">
        <v>1</v>
      </c>
      <c r="AC59" s="101">
        <v>1</v>
      </c>
      <c r="AD59" s="101">
        <v>1</v>
      </c>
      <c r="AE59" s="101" t="s">
        <v>2201</v>
      </c>
      <c r="AF59" s="102" t="str">
        <f>IF(ISERROR(VLOOKUP(AE59,小分類・セグメント!$A:$C,3,FALSE)),"",VLOOKUP(AE59,小分類・セグメント!$A:$C,3,FALSE))</f>
        <v>ECD</v>
      </c>
      <c r="AG59" s="103" t="str">
        <f>IF(ISERROR(VLOOKUP(AE59,小細分類・事業部マスタ!$E:$H,4,FALSE)),"",VLOOKUP(AE59,小細分類・事業部マスタ!$E:$H,4,FALSE))</f>
        <v>パワーデバイス事業部</v>
      </c>
      <c r="AH59" s="101" t="s">
        <v>2206</v>
      </c>
      <c r="AI59" s="104">
        <f>IF(ISERROR(VLOOKUP(AJ59,設置場所!$A:$B,2,FALSE)),"",VLOOKUP(AJ59,設置場所!$A:$B,2,FALSE))</f>
        <v>900000030</v>
      </c>
      <c r="AJ59" s="101" t="s">
        <v>2191</v>
      </c>
      <c r="AK59" s="101" t="s">
        <v>1331</v>
      </c>
      <c r="AL59" s="101" t="s">
        <v>1336</v>
      </c>
      <c r="AM59" s="101"/>
      <c r="AN59" s="101"/>
      <c r="AO59" s="101"/>
      <c r="AP59" s="101"/>
      <c r="AQ59" s="101"/>
      <c r="AR59" s="105"/>
      <c r="AS59" s="171"/>
    </row>
    <row r="60" spans="1:45">
      <c r="A60" s="131" t="s">
        <v>1224</v>
      </c>
      <c r="B60" s="156" t="s">
        <v>1337</v>
      </c>
      <c r="C60" s="156" t="s">
        <v>1321</v>
      </c>
      <c r="D60" s="156" t="s">
        <v>1407</v>
      </c>
      <c r="E60" s="156" t="s">
        <v>1608</v>
      </c>
      <c r="F60" s="156" t="s">
        <v>1733</v>
      </c>
      <c r="G60" s="157">
        <v>41612</v>
      </c>
      <c r="H60" s="158" t="s">
        <v>1922</v>
      </c>
      <c r="I60" s="158" t="s">
        <v>1996</v>
      </c>
      <c r="J60" s="156" t="s">
        <v>2140</v>
      </c>
      <c r="K60" s="156" t="s">
        <v>2155</v>
      </c>
      <c r="L60" s="156" t="s">
        <v>2168</v>
      </c>
      <c r="M60" s="156">
        <v>4</v>
      </c>
      <c r="N60" s="159">
        <v>178000</v>
      </c>
      <c r="O60" s="160">
        <v>1</v>
      </c>
      <c r="P60" s="160">
        <v>1</v>
      </c>
      <c r="Q60" s="160">
        <v>0</v>
      </c>
      <c r="R60" s="159">
        <v>1</v>
      </c>
      <c r="S60" s="157"/>
      <c r="T60" s="157"/>
      <c r="U60" s="161">
        <v>0</v>
      </c>
      <c r="V60" s="158" t="s">
        <v>852</v>
      </c>
      <c r="W60" s="158" t="s">
        <v>627</v>
      </c>
      <c r="X60" s="158"/>
      <c r="Y60" s="162" t="s">
        <v>2185</v>
      </c>
      <c r="Z60" s="163" t="s">
        <v>2191</v>
      </c>
      <c r="AA60" s="163">
        <v>1</v>
      </c>
      <c r="AB60" s="163">
        <v>1</v>
      </c>
      <c r="AC60" s="101">
        <v>1</v>
      </c>
      <c r="AD60" s="101">
        <v>1</v>
      </c>
      <c r="AE60" s="101" t="s">
        <v>2201</v>
      </c>
      <c r="AF60" s="102" t="str">
        <f>IF(ISERROR(VLOOKUP(AE60,小分類・セグメント!$A:$C,3,FALSE)),"",VLOOKUP(AE60,小分類・セグメント!$A:$C,3,FALSE))</f>
        <v>ECD</v>
      </c>
      <c r="AG60" s="103" t="str">
        <f>IF(ISERROR(VLOOKUP(AE60,小細分類・事業部マスタ!$E:$H,4,FALSE)),"",VLOOKUP(AE60,小細分類・事業部マスタ!$E:$H,4,FALSE))</f>
        <v>パワーデバイス事業部</v>
      </c>
      <c r="AH60" s="101" t="s">
        <v>2206</v>
      </c>
      <c r="AI60" s="104">
        <f>IF(ISERROR(VLOOKUP(AJ60,設置場所!$A:$B,2,FALSE)),"",VLOOKUP(AJ60,設置場所!$A:$B,2,FALSE))</f>
        <v>900000030</v>
      </c>
      <c r="AJ60" s="101" t="s">
        <v>2191</v>
      </c>
      <c r="AK60" s="101" t="s">
        <v>1331</v>
      </c>
      <c r="AL60" s="101" t="s">
        <v>1336</v>
      </c>
      <c r="AM60" s="101"/>
      <c r="AN60" s="101"/>
      <c r="AO60" s="101"/>
      <c r="AP60" s="101"/>
      <c r="AQ60" s="101"/>
      <c r="AR60" s="105"/>
      <c r="AS60" s="171"/>
    </row>
    <row r="61" spans="1:45">
      <c r="A61" s="131" t="s">
        <v>1224</v>
      </c>
      <c r="B61" s="156" t="s">
        <v>1337</v>
      </c>
      <c r="C61" s="156" t="s">
        <v>1321</v>
      </c>
      <c r="D61" s="156" t="s">
        <v>1408</v>
      </c>
      <c r="E61" s="156" t="s">
        <v>1609</v>
      </c>
      <c r="F61" s="156" t="s">
        <v>1734</v>
      </c>
      <c r="G61" s="157">
        <v>41609</v>
      </c>
      <c r="H61" s="158" t="s">
        <v>1918</v>
      </c>
      <c r="I61" s="158" t="s">
        <v>1997</v>
      </c>
      <c r="J61" s="156" t="s">
        <v>2144</v>
      </c>
      <c r="K61" s="156" t="s">
        <v>2159</v>
      </c>
      <c r="L61" s="156" t="s">
        <v>2168</v>
      </c>
      <c r="M61" s="156">
        <v>4</v>
      </c>
      <c r="N61" s="159">
        <v>3500000</v>
      </c>
      <c r="O61" s="160">
        <v>1</v>
      </c>
      <c r="P61" s="160">
        <v>1</v>
      </c>
      <c r="Q61" s="160">
        <v>0</v>
      </c>
      <c r="R61" s="159">
        <v>1</v>
      </c>
      <c r="S61" s="157"/>
      <c r="T61" s="157"/>
      <c r="U61" s="161">
        <v>0</v>
      </c>
      <c r="V61" s="158" t="s">
        <v>852</v>
      </c>
      <c r="W61" s="158" t="s">
        <v>627</v>
      </c>
      <c r="X61" s="158"/>
      <c r="Y61" s="162" t="s">
        <v>2185</v>
      </c>
      <c r="Z61" s="163" t="s">
        <v>2191</v>
      </c>
      <c r="AA61" s="163">
        <v>1</v>
      </c>
      <c r="AB61" s="163">
        <v>1</v>
      </c>
      <c r="AC61" s="101">
        <v>1</v>
      </c>
      <c r="AD61" s="101">
        <v>1</v>
      </c>
      <c r="AE61" s="101" t="s">
        <v>2201</v>
      </c>
      <c r="AF61" s="102" t="str">
        <f>IF(ISERROR(VLOOKUP(AE61,小分類・セグメント!$A:$C,3,FALSE)),"",VLOOKUP(AE61,小分類・セグメント!$A:$C,3,FALSE))</f>
        <v>ECD</v>
      </c>
      <c r="AG61" s="103" t="str">
        <f>IF(ISERROR(VLOOKUP(AE61,小細分類・事業部マスタ!$E:$H,4,FALSE)),"",VLOOKUP(AE61,小細分類・事業部マスタ!$E:$H,4,FALSE))</f>
        <v>パワーデバイス事業部</v>
      </c>
      <c r="AH61" s="101" t="s">
        <v>2206</v>
      </c>
      <c r="AI61" s="104">
        <f>IF(ISERROR(VLOOKUP(AJ61,設置場所!$A:$B,2,FALSE)),"",VLOOKUP(AJ61,設置場所!$A:$B,2,FALSE))</f>
        <v>900000030</v>
      </c>
      <c r="AJ61" s="101" t="s">
        <v>2191</v>
      </c>
      <c r="AK61" s="101" t="s">
        <v>1331</v>
      </c>
      <c r="AL61" s="101" t="s">
        <v>1336</v>
      </c>
      <c r="AM61" s="101"/>
      <c r="AN61" s="101"/>
      <c r="AO61" s="101"/>
      <c r="AP61" s="101"/>
      <c r="AQ61" s="101"/>
      <c r="AR61" s="105"/>
      <c r="AS61" s="171"/>
    </row>
    <row r="62" spans="1:45">
      <c r="A62" s="131" t="s">
        <v>1224</v>
      </c>
      <c r="B62" s="156" t="s">
        <v>1337</v>
      </c>
      <c r="C62" s="156" t="s">
        <v>1321</v>
      </c>
      <c r="D62" s="156" t="s">
        <v>1409</v>
      </c>
      <c r="E62" s="156" t="s">
        <v>1610</v>
      </c>
      <c r="F62" s="156" t="s">
        <v>1735</v>
      </c>
      <c r="G62" s="157">
        <v>41701</v>
      </c>
      <c r="H62" s="158" t="s">
        <v>1914</v>
      </c>
      <c r="I62" s="158" t="s">
        <v>1998</v>
      </c>
      <c r="J62" s="156" t="s">
        <v>2142</v>
      </c>
      <c r="K62" s="156" t="s">
        <v>2157</v>
      </c>
      <c r="L62" s="156" t="s">
        <v>2168</v>
      </c>
      <c r="M62" s="156">
        <v>4</v>
      </c>
      <c r="N62" s="159">
        <v>511000</v>
      </c>
      <c r="O62" s="160">
        <v>1</v>
      </c>
      <c r="P62" s="160">
        <v>1</v>
      </c>
      <c r="Q62" s="160">
        <v>0</v>
      </c>
      <c r="R62" s="159">
        <v>1</v>
      </c>
      <c r="S62" s="157"/>
      <c r="T62" s="157"/>
      <c r="U62" s="161">
        <v>0</v>
      </c>
      <c r="V62" s="158" t="s">
        <v>852</v>
      </c>
      <c r="W62" s="158" t="s">
        <v>627</v>
      </c>
      <c r="X62" s="158" t="s">
        <v>2169</v>
      </c>
      <c r="Y62" s="162" t="s">
        <v>2185</v>
      </c>
      <c r="Z62" s="163" t="s">
        <v>2191</v>
      </c>
      <c r="AA62" s="163">
        <v>1</v>
      </c>
      <c r="AB62" s="163">
        <v>4</v>
      </c>
      <c r="AC62" s="101">
        <v>1</v>
      </c>
      <c r="AD62" s="101">
        <v>4</v>
      </c>
      <c r="AE62" s="101" t="s">
        <v>2201</v>
      </c>
      <c r="AF62" s="102" t="str">
        <f>IF(ISERROR(VLOOKUP(AE62,小分類・セグメント!$A:$C,3,FALSE)),"",VLOOKUP(AE62,小分類・セグメント!$A:$C,3,FALSE))</f>
        <v>ECD</v>
      </c>
      <c r="AG62" s="103" t="str">
        <f>IF(ISERROR(VLOOKUP(AE62,小細分類・事業部マスタ!$E:$H,4,FALSE)),"",VLOOKUP(AE62,小細分類・事業部マスタ!$E:$H,4,FALSE))</f>
        <v>パワーデバイス事業部</v>
      </c>
      <c r="AH62" s="101" t="s">
        <v>2206</v>
      </c>
      <c r="AI62" s="104">
        <f>IF(ISERROR(VLOOKUP(AJ62,設置場所!$A:$B,2,FALSE)),"",VLOOKUP(AJ62,設置場所!$A:$B,2,FALSE))</f>
        <v>900000030</v>
      </c>
      <c r="AJ62" s="101" t="s">
        <v>2191</v>
      </c>
      <c r="AK62" s="101" t="s">
        <v>1331</v>
      </c>
      <c r="AL62" s="101" t="s">
        <v>1336</v>
      </c>
      <c r="AM62" s="101"/>
      <c r="AN62" s="101"/>
      <c r="AO62" s="101"/>
      <c r="AP62" s="101"/>
      <c r="AQ62" s="101"/>
      <c r="AR62" s="105"/>
      <c r="AS62" s="171"/>
    </row>
    <row r="63" spans="1:45">
      <c r="A63" s="131" t="s">
        <v>1224</v>
      </c>
      <c r="B63" s="156" t="s">
        <v>1337</v>
      </c>
      <c r="C63" s="156" t="s">
        <v>1321</v>
      </c>
      <c r="D63" s="156" t="s">
        <v>1410</v>
      </c>
      <c r="E63" s="156" t="s">
        <v>1611</v>
      </c>
      <c r="F63" s="156" t="s">
        <v>1736</v>
      </c>
      <c r="G63" s="157">
        <v>41712</v>
      </c>
      <c r="H63" s="158" t="s">
        <v>1923</v>
      </c>
      <c r="I63" s="158" t="s">
        <v>1999</v>
      </c>
      <c r="J63" s="156" t="s">
        <v>2135</v>
      </c>
      <c r="K63" s="156" t="s">
        <v>2150</v>
      </c>
      <c r="L63" s="156" t="s">
        <v>2168</v>
      </c>
      <c r="M63" s="156">
        <v>4</v>
      </c>
      <c r="N63" s="159">
        <v>19720600</v>
      </c>
      <c r="O63" s="160">
        <v>1</v>
      </c>
      <c r="P63" s="160">
        <v>1</v>
      </c>
      <c r="Q63" s="160">
        <v>0</v>
      </c>
      <c r="R63" s="159">
        <v>1</v>
      </c>
      <c r="S63" s="157"/>
      <c r="T63" s="157"/>
      <c r="U63" s="161">
        <v>0</v>
      </c>
      <c r="V63" s="158" t="s">
        <v>852</v>
      </c>
      <c r="W63" s="158" t="s">
        <v>627</v>
      </c>
      <c r="X63" s="158"/>
      <c r="Y63" s="162" t="s">
        <v>2185</v>
      </c>
      <c r="Z63" s="163" t="s">
        <v>2191</v>
      </c>
      <c r="AA63" s="163">
        <v>1</v>
      </c>
      <c r="AB63" s="163">
        <v>1</v>
      </c>
      <c r="AC63" s="101">
        <v>1</v>
      </c>
      <c r="AD63" s="101">
        <v>1</v>
      </c>
      <c r="AE63" s="101" t="s">
        <v>2201</v>
      </c>
      <c r="AF63" s="102" t="str">
        <f>IF(ISERROR(VLOOKUP(AE63,小分類・セグメント!$A:$C,3,FALSE)),"",VLOOKUP(AE63,小分類・セグメント!$A:$C,3,FALSE))</f>
        <v>ECD</v>
      </c>
      <c r="AG63" s="103" t="str">
        <f>IF(ISERROR(VLOOKUP(AE63,小細分類・事業部マスタ!$E:$H,4,FALSE)),"",VLOOKUP(AE63,小細分類・事業部マスタ!$E:$H,4,FALSE))</f>
        <v>パワーデバイス事業部</v>
      </c>
      <c r="AH63" s="101" t="s">
        <v>2206</v>
      </c>
      <c r="AI63" s="104">
        <f>IF(ISERROR(VLOOKUP(AJ63,設置場所!$A:$B,2,FALSE)),"",VLOOKUP(AJ63,設置場所!$A:$B,2,FALSE))</f>
        <v>900000030</v>
      </c>
      <c r="AJ63" s="101" t="s">
        <v>2191</v>
      </c>
      <c r="AK63" s="101" t="s">
        <v>1331</v>
      </c>
      <c r="AL63" s="101" t="s">
        <v>1336</v>
      </c>
      <c r="AM63" s="101"/>
      <c r="AN63" s="101"/>
      <c r="AO63" s="101"/>
      <c r="AP63" s="101"/>
      <c r="AQ63" s="101"/>
      <c r="AR63" s="105"/>
      <c r="AS63" s="171"/>
    </row>
    <row r="64" spans="1:45">
      <c r="A64" s="131" t="s">
        <v>1224</v>
      </c>
      <c r="B64" s="156" t="s">
        <v>1337</v>
      </c>
      <c r="C64" s="156" t="s">
        <v>1321</v>
      </c>
      <c r="D64" s="156" t="s">
        <v>1411</v>
      </c>
      <c r="E64" s="156"/>
      <c r="F64" s="156" t="s">
        <v>1737</v>
      </c>
      <c r="G64" s="157">
        <v>42986</v>
      </c>
      <c r="H64" s="158" t="s">
        <v>1924</v>
      </c>
      <c r="I64" s="158" t="s">
        <v>2000</v>
      </c>
      <c r="J64" s="156" t="s">
        <v>2135</v>
      </c>
      <c r="K64" s="156" t="s">
        <v>2150</v>
      </c>
      <c r="L64" s="156" t="s">
        <v>2168</v>
      </c>
      <c r="M64" s="156">
        <v>8</v>
      </c>
      <c r="N64" s="159">
        <v>850000</v>
      </c>
      <c r="O64" s="160">
        <v>1</v>
      </c>
      <c r="P64" s="160">
        <v>1</v>
      </c>
      <c r="Q64" s="160">
        <v>0</v>
      </c>
      <c r="R64" s="159">
        <v>1</v>
      </c>
      <c r="S64" s="157"/>
      <c r="T64" s="157">
        <v>44286</v>
      </c>
      <c r="U64" s="161">
        <v>306299</v>
      </c>
      <c r="V64" s="158" t="s">
        <v>852</v>
      </c>
      <c r="W64" s="158" t="s">
        <v>627</v>
      </c>
      <c r="X64" s="158" t="s">
        <v>2169</v>
      </c>
      <c r="Y64" s="162" t="s">
        <v>2185</v>
      </c>
      <c r="Z64" s="163" t="s">
        <v>2191</v>
      </c>
      <c r="AA64" s="163">
        <v>1</v>
      </c>
      <c r="AB64" s="163">
        <v>1</v>
      </c>
      <c r="AC64" s="101">
        <v>1</v>
      </c>
      <c r="AD64" s="101">
        <v>1</v>
      </c>
      <c r="AE64" s="101" t="s">
        <v>2201</v>
      </c>
      <c r="AF64" s="102" t="str">
        <f>IF(ISERROR(VLOOKUP(AE64,小分類・セグメント!$A:$C,3,FALSE)),"",VLOOKUP(AE64,小分類・セグメント!$A:$C,3,FALSE))</f>
        <v>ECD</v>
      </c>
      <c r="AG64" s="103" t="str">
        <f>IF(ISERROR(VLOOKUP(AE64,小細分類・事業部マスタ!$E:$H,4,FALSE)),"",VLOOKUP(AE64,小細分類・事業部マスタ!$E:$H,4,FALSE))</f>
        <v>パワーデバイス事業部</v>
      </c>
      <c r="AH64" s="101" t="s">
        <v>2206</v>
      </c>
      <c r="AI64" s="104">
        <f>IF(ISERROR(VLOOKUP(AJ64,設置場所!$A:$B,2,FALSE)),"",VLOOKUP(AJ64,設置場所!$A:$B,2,FALSE))</f>
        <v>900000030</v>
      </c>
      <c r="AJ64" s="101" t="s">
        <v>2191</v>
      </c>
      <c r="AK64" s="101" t="s">
        <v>1331</v>
      </c>
      <c r="AL64" s="101" t="s">
        <v>1336</v>
      </c>
      <c r="AM64" s="101"/>
      <c r="AN64" s="101"/>
      <c r="AO64" s="101"/>
      <c r="AP64" s="101"/>
      <c r="AQ64" s="101"/>
      <c r="AR64" s="105"/>
      <c r="AS64" s="171"/>
    </row>
    <row r="65" spans="1:45">
      <c r="A65" s="131" t="s">
        <v>1224</v>
      </c>
      <c r="B65" s="156" t="s">
        <v>1337</v>
      </c>
      <c r="C65" s="156" t="s">
        <v>1321</v>
      </c>
      <c r="D65" s="156" t="s">
        <v>1412</v>
      </c>
      <c r="E65" s="156" t="s">
        <v>1612</v>
      </c>
      <c r="F65" s="156" t="s">
        <v>1738</v>
      </c>
      <c r="G65" s="157">
        <v>41726</v>
      </c>
      <c r="H65" s="158" t="s">
        <v>1922</v>
      </c>
      <c r="I65" s="158" t="s">
        <v>2001</v>
      </c>
      <c r="J65" s="156" t="s">
        <v>2145</v>
      </c>
      <c r="K65" s="156" t="s">
        <v>2160</v>
      </c>
      <c r="L65" s="156" t="s">
        <v>2168</v>
      </c>
      <c r="M65" s="156">
        <v>4</v>
      </c>
      <c r="N65" s="159">
        <v>3726000</v>
      </c>
      <c r="O65" s="160">
        <v>1</v>
      </c>
      <c r="P65" s="160">
        <v>1</v>
      </c>
      <c r="Q65" s="160">
        <v>0</v>
      </c>
      <c r="R65" s="159">
        <v>1</v>
      </c>
      <c r="S65" s="157"/>
      <c r="T65" s="157"/>
      <c r="U65" s="161">
        <v>0</v>
      </c>
      <c r="V65" s="158" t="s">
        <v>852</v>
      </c>
      <c r="W65" s="158" t="s">
        <v>627</v>
      </c>
      <c r="X65" s="158"/>
      <c r="Y65" s="162" t="s">
        <v>2185</v>
      </c>
      <c r="Z65" s="163" t="s">
        <v>2191</v>
      </c>
      <c r="AA65" s="163">
        <v>1</v>
      </c>
      <c r="AB65" s="163">
        <v>1</v>
      </c>
      <c r="AC65" s="101">
        <v>1</v>
      </c>
      <c r="AD65" s="101">
        <v>1</v>
      </c>
      <c r="AE65" s="101" t="s">
        <v>2201</v>
      </c>
      <c r="AF65" s="102" t="str">
        <f>IF(ISERROR(VLOOKUP(AE65,小分類・セグメント!$A:$C,3,FALSE)),"",VLOOKUP(AE65,小分類・セグメント!$A:$C,3,FALSE))</f>
        <v>ECD</v>
      </c>
      <c r="AG65" s="103" t="str">
        <f>IF(ISERROR(VLOOKUP(AE65,小細分類・事業部マスタ!$E:$H,4,FALSE)),"",VLOOKUP(AE65,小細分類・事業部マスタ!$E:$H,4,FALSE))</f>
        <v>パワーデバイス事業部</v>
      </c>
      <c r="AH65" s="101" t="s">
        <v>2206</v>
      </c>
      <c r="AI65" s="104">
        <f>IF(ISERROR(VLOOKUP(AJ65,設置場所!$A:$B,2,FALSE)),"",VLOOKUP(AJ65,設置場所!$A:$B,2,FALSE))</f>
        <v>900000030</v>
      </c>
      <c r="AJ65" s="101" t="s">
        <v>2191</v>
      </c>
      <c r="AK65" s="101" t="s">
        <v>1331</v>
      </c>
      <c r="AL65" s="101" t="s">
        <v>1336</v>
      </c>
      <c r="AM65" s="101"/>
      <c r="AN65" s="101"/>
      <c r="AO65" s="101"/>
      <c r="AP65" s="101"/>
      <c r="AQ65" s="101"/>
      <c r="AR65" s="105"/>
      <c r="AS65" s="171"/>
    </row>
    <row r="66" spans="1:45">
      <c r="A66" s="131" t="s">
        <v>1224</v>
      </c>
      <c r="B66" s="156" t="s">
        <v>1337</v>
      </c>
      <c r="C66" s="156" t="s">
        <v>1321</v>
      </c>
      <c r="D66" s="156" t="s">
        <v>1413</v>
      </c>
      <c r="E66" s="156" t="s">
        <v>1613</v>
      </c>
      <c r="F66" s="156" t="s">
        <v>1739</v>
      </c>
      <c r="G66" s="157">
        <v>41913</v>
      </c>
      <c r="H66" s="158" t="s">
        <v>1918</v>
      </c>
      <c r="I66" s="158" t="s">
        <v>2002</v>
      </c>
      <c r="J66" s="156" t="s">
        <v>2141</v>
      </c>
      <c r="K66" s="156" t="s">
        <v>2156</v>
      </c>
      <c r="L66" s="156" t="s">
        <v>2168</v>
      </c>
      <c r="M66" s="156">
        <v>5</v>
      </c>
      <c r="N66" s="159">
        <v>950000</v>
      </c>
      <c r="O66" s="160">
        <v>1</v>
      </c>
      <c r="P66" s="160">
        <v>1</v>
      </c>
      <c r="Q66" s="160">
        <v>0</v>
      </c>
      <c r="R66" s="159">
        <v>1</v>
      </c>
      <c r="S66" s="157"/>
      <c r="T66" s="157"/>
      <c r="U66" s="161">
        <v>0</v>
      </c>
      <c r="V66" s="158" t="s">
        <v>852</v>
      </c>
      <c r="W66" s="158" t="s">
        <v>627</v>
      </c>
      <c r="X66" s="158"/>
      <c r="Y66" s="162" t="s">
        <v>2185</v>
      </c>
      <c r="Z66" s="163" t="s">
        <v>2191</v>
      </c>
      <c r="AA66" s="163">
        <v>1</v>
      </c>
      <c r="AB66" s="163">
        <v>1</v>
      </c>
      <c r="AC66" s="101">
        <v>1</v>
      </c>
      <c r="AD66" s="101">
        <v>1</v>
      </c>
      <c r="AE66" s="101" t="s">
        <v>2201</v>
      </c>
      <c r="AF66" s="102" t="str">
        <f>IF(ISERROR(VLOOKUP(AE66,小分類・セグメント!$A:$C,3,FALSE)),"",VLOOKUP(AE66,小分類・セグメント!$A:$C,3,FALSE))</f>
        <v>ECD</v>
      </c>
      <c r="AG66" s="103" t="str">
        <f>IF(ISERROR(VLOOKUP(AE66,小細分類・事業部マスタ!$E:$H,4,FALSE)),"",VLOOKUP(AE66,小細分類・事業部マスタ!$E:$H,4,FALSE))</f>
        <v>パワーデバイス事業部</v>
      </c>
      <c r="AH66" s="101" t="s">
        <v>2206</v>
      </c>
      <c r="AI66" s="104">
        <f>IF(ISERROR(VLOOKUP(AJ66,設置場所!$A:$B,2,FALSE)),"",VLOOKUP(AJ66,設置場所!$A:$B,2,FALSE))</f>
        <v>900000030</v>
      </c>
      <c r="AJ66" s="101" t="s">
        <v>2191</v>
      </c>
      <c r="AK66" s="101" t="s">
        <v>1331</v>
      </c>
      <c r="AL66" s="101" t="s">
        <v>1336</v>
      </c>
      <c r="AM66" s="101"/>
      <c r="AN66" s="101"/>
      <c r="AO66" s="101"/>
      <c r="AP66" s="101"/>
      <c r="AQ66" s="101"/>
      <c r="AR66" s="105"/>
      <c r="AS66" s="171"/>
    </row>
    <row r="67" spans="1:45">
      <c r="A67" s="131" t="s">
        <v>1224</v>
      </c>
      <c r="B67" s="156" t="s">
        <v>1337</v>
      </c>
      <c r="C67" s="156" t="s">
        <v>1321</v>
      </c>
      <c r="D67" s="156" t="s">
        <v>1414</v>
      </c>
      <c r="E67" s="156" t="s">
        <v>1614</v>
      </c>
      <c r="F67" s="156" t="s">
        <v>1740</v>
      </c>
      <c r="G67" s="157">
        <v>41913</v>
      </c>
      <c r="H67" s="158" t="s">
        <v>1918</v>
      </c>
      <c r="I67" s="158" t="s">
        <v>2003</v>
      </c>
      <c r="J67" s="156" t="s">
        <v>2141</v>
      </c>
      <c r="K67" s="156" t="s">
        <v>2156</v>
      </c>
      <c r="L67" s="156" t="s">
        <v>2168</v>
      </c>
      <c r="M67" s="156">
        <v>5</v>
      </c>
      <c r="N67" s="159">
        <v>950000</v>
      </c>
      <c r="O67" s="160">
        <v>1</v>
      </c>
      <c r="P67" s="160">
        <v>1</v>
      </c>
      <c r="Q67" s="160">
        <v>0</v>
      </c>
      <c r="R67" s="159">
        <v>1</v>
      </c>
      <c r="S67" s="157"/>
      <c r="T67" s="157"/>
      <c r="U67" s="161">
        <v>0</v>
      </c>
      <c r="V67" s="158" t="s">
        <v>852</v>
      </c>
      <c r="W67" s="158" t="s">
        <v>627</v>
      </c>
      <c r="X67" s="158"/>
      <c r="Y67" s="162" t="s">
        <v>2185</v>
      </c>
      <c r="Z67" s="163" t="s">
        <v>2191</v>
      </c>
      <c r="AA67" s="163">
        <v>1</v>
      </c>
      <c r="AB67" s="163">
        <v>1</v>
      </c>
      <c r="AC67" s="101">
        <v>1</v>
      </c>
      <c r="AD67" s="101">
        <v>1</v>
      </c>
      <c r="AE67" s="101" t="s">
        <v>2201</v>
      </c>
      <c r="AF67" s="102" t="str">
        <f>IF(ISERROR(VLOOKUP(AE67,小分類・セグメント!$A:$C,3,FALSE)),"",VLOOKUP(AE67,小分類・セグメント!$A:$C,3,FALSE))</f>
        <v>ECD</v>
      </c>
      <c r="AG67" s="103" t="str">
        <f>IF(ISERROR(VLOOKUP(AE67,小細分類・事業部マスタ!$E:$H,4,FALSE)),"",VLOOKUP(AE67,小細分類・事業部マスタ!$E:$H,4,FALSE))</f>
        <v>パワーデバイス事業部</v>
      </c>
      <c r="AH67" s="101" t="s">
        <v>2206</v>
      </c>
      <c r="AI67" s="104">
        <f>IF(ISERROR(VLOOKUP(AJ67,設置場所!$A:$B,2,FALSE)),"",VLOOKUP(AJ67,設置場所!$A:$B,2,FALSE))</f>
        <v>900000030</v>
      </c>
      <c r="AJ67" s="101" t="s">
        <v>2191</v>
      </c>
      <c r="AK67" s="101" t="s">
        <v>1331</v>
      </c>
      <c r="AL67" s="101" t="s">
        <v>1336</v>
      </c>
      <c r="AM67" s="101"/>
      <c r="AN67" s="101"/>
      <c r="AO67" s="101"/>
      <c r="AP67" s="101"/>
      <c r="AQ67" s="101"/>
      <c r="AR67" s="105"/>
      <c r="AS67" s="171"/>
    </row>
    <row r="68" spans="1:45">
      <c r="A68" s="131" t="s">
        <v>1224</v>
      </c>
      <c r="B68" s="156" t="s">
        <v>1337</v>
      </c>
      <c r="C68" s="156" t="s">
        <v>1321</v>
      </c>
      <c r="D68" s="156" t="s">
        <v>1415</v>
      </c>
      <c r="E68" s="156" t="s">
        <v>1615</v>
      </c>
      <c r="F68" s="156" t="s">
        <v>1741</v>
      </c>
      <c r="G68" s="157">
        <v>41913</v>
      </c>
      <c r="H68" s="158" t="s">
        <v>1918</v>
      </c>
      <c r="I68" s="158" t="s">
        <v>2004</v>
      </c>
      <c r="J68" s="156" t="s">
        <v>2141</v>
      </c>
      <c r="K68" s="156" t="s">
        <v>2156</v>
      </c>
      <c r="L68" s="156" t="s">
        <v>2168</v>
      </c>
      <c r="M68" s="156">
        <v>5</v>
      </c>
      <c r="N68" s="159">
        <v>950000</v>
      </c>
      <c r="O68" s="160">
        <v>1</v>
      </c>
      <c r="P68" s="160">
        <v>1</v>
      </c>
      <c r="Q68" s="160">
        <v>0</v>
      </c>
      <c r="R68" s="159">
        <v>1</v>
      </c>
      <c r="S68" s="157"/>
      <c r="T68" s="157"/>
      <c r="U68" s="161">
        <v>0</v>
      </c>
      <c r="V68" s="158" t="s">
        <v>852</v>
      </c>
      <c r="W68" s="158" t="s">
        <v>627</v>
      </c>
      <c r="X68" s="158"/>
      <c r="Y68" s="162" t="s">
        <v>2185</v>
      </c>
      <c r="Z68" s="163" t="s">
        <v>2191</v>
      </c>
      <c r="AA68" s="163">
        <v>1</v>
      </c>
      <c r="AB68" s="163">
        <v>1</v>
      </c>
      <c r="AC68" s="101">
        <v>1</v>
      </c>
      <c r="AD68" s="101">
        <v>1</v>
      </c>
      <c r="AE68" s="101" t="s">
        <v>2201</v>
      </c>
      <c r="AF68" s="102" t="str">
        <f>IF(ISERROR(VLOOKUP(AE68,小分類・セグメント!$A:$C,3,FALSE)),"",VLOOKUP(AE68,小分類・セグメント!$A:$C,3,FALSE))</f>
        <v>ECD</v>
      </c>
      <c r="AG68" s="103" t="str">
        <f>IF(ISERROR(VLOOKUP(AE68,小細分類・事業部マスタ!$E:$H,4,FALSE)),"",VLOOKUP(AE68,小細分類・事業部マスタ!$E:$H,4,FALSE))</f>
        <v>パワーデバイス事業部</v>
      </c>
      <c r="AH68" s="101" t="s">
        <v>2206</v>
      </c>
      <c r="AI68" s="104">
        <f>IF(ISERROR(VLOOKUP(AJ68,設置場所!$A:$B,2,FALSE)),"",VLOOKUP(AJ68,設置場所!$A:$B,2,FALSE))</f>
        <v>900000030</v>
      </c>
      <c r="AJ68" s="101" t="s">
        <v>2191</v>
      </c>
      <c r="AK68" s="101" t="s">
        <v>1331</v>
      </c>
      <c r="AL68" s="101" t="s">
        <v>1336</v>
      </c>
      <c r="AM68" s="101"/>
      <c r="AN68" s="101"/>
      <c r="AO68" s="101"/>
      <c r="AP68" s="101"/>
      <c r="AQ68" s="101"/>
      <c r="AR68" s="105"/>
      <c r="AS68" s="171"/>
    </row>
    <row r="69" spans="1:45">
      <c r="A69" s="131" t="s">
        <v>1224</v>
      </c>
      <c r="B69" s="156" t="s">
        <v>1337</v>
      </c>
      <c r="C69" s="156" t="s">
        <v>1321</v>
      </c>
      <c r="D69" s="156" t="s">
        <v>1416</v>
      </c>
      <c r="E69" s="156" t="s">
        <v>1616</v>
      </c>
      <c r="F69" s="156" t="s">
        <v>1742</v>
      </c>
      <c r="G69" s="157">
        <v>41913</v>
      </c>
      <c r="H69" s="158" t="s">
        <v>1918</v>
      </c>
      <c r="I69" s="158" t="s">
        <v>2005</v>
      </c>
      <c r="J69" s="156" t="s">
        <v>2141</v>
      </c>
      <c r="K69" s="156" t="s">
        <v>2156</v>
      </c>
      <c r="L69" s="156" t="s">
        <v>2168</v>
      </c>
      <c r="M69" s="156">
        <v>5</v>
      </c>
      <c r="N69" s="159">
        <v>950000</v>
      </c>
      <c r="O69" s="160">
        <v>1</v>
      </c>
      <c r="P69" s="160">
        <v>1</v>
      </c>
      <c r="Q69" s="160">
        <v>0</v>
      </c>
      <c r="R69" s="159">
        <v>1</v>
      </c>
      <c r="S69" s="157"/>
      <c r="T69" s="157"/>
      <c r="U69" s="161">
        <v>0</v>
      </c>
      <c r="V69" s="158" t="s">
        <v>852</v>
      </c>
      <c r="W69" s="158" t="s">
        <v>627</v>
      </c>
      <c r="X69" s="158"/>
      <c r="Y69" s="162" t="s">
        <v>2185</v>
      </c>
      <c r="Z69" s="163" t="s">
        <v>2191</v>
      </c>
      <c r="AA69" s="163">
        <v>1</v>
      </c>
      <c r="AB69" s="163">
        <v>1</v>
      </c>
      <c r="AC69" s="101">
        <v>1</v>
      </c>
      <c r="AD69" s="101">
        <v>1</v>
      </c>
      <c r="AE69" s="101" t="s">
        <v>2201</v>
      </c>
      <c r="AF69" s="102" t="str">
        <f>IF(ISERROR(VLOOKUP(AE69,小分類・セグメント!$A:$C,3,FALSE)),"",VLOOKUP(AE69,小分類・セグメント!$A:$C,3,FALSE))</f>
        <v>ECD</v>
      </c>
      <c r="AG69" s="103" t="str">
        <f>IF(ISERROR(VLOOKUP(AE69,小細分類・事業部マスタ!$E:$H,4,FALSE)),"",VLOOKUP(AE69,小細分類・事業部マスタ!$E:$H,4,FALSE))</f>
        <v>パワーデバイス事業部</v>
      </c>
      <c r="AH69" s="101" t="s">
        <v>2206</v>
      </c>
      <c r="AI69" s="104">
        <f>IF(ISERROR(VLOOKUP(AJ69,設置場所!$A:$B,2,FALSE)),"",VLOOKUP(AJ69,設置場所!$A:$B,2,FALSE))</f>
        <v>900000030</v>
      </c>
      <c r="AJ69" s="101" t="s">
        <v>2191</v>
      </c>
      <c r="AK69" s="101" t="s">
        <v>1331</v>
      </c>
      <c r="AL69" s="101" t="s">
        <v>1336</v>
      </c>
      <c r="AM69" s="101"/>
      <c r="AN69" s="101"/>
      <c r="AO69" s="101"/>
      <c r="AP69" s="101"/>
      <c r="AQ69" s="101"/>
      <c r="AR69" s="105"/>
      <c r="AS69" s="171"/>
    </row>
    <row r="70" spans="1:45">
      <c r="A70" s="131" t="s">
        <v>1224</v>
      </c>
      <c r="B70" s="156" t="s">
        <v>1337</v>
      </c>
      <c r="C70" s="156" t="s">
        <v>1321</v>
      </c>
      <c r="D70" s="156" t="s">
        <v>1417</v>
      </c>
      <c r="E70" s="156" t="s">
        <v>1617</v>
      </c>
      <c r="F70" s="156" t="s">
        <v>1743</v>
      </c>
      <c r="G70" s="157">
        <v>41913</v>
      </c>
      <c r="H70" s="158" t="s">
        <v>1918</v>
      </c>
      <c r="I70" s="158" t="s">
        <v>2006</v>
      </c>
      <c r="J70" s="156" t="s">
        <v>2141</v>
      </c>
      <c r="K70" s="156" t="s">
        <v>2156</v>
      </c>
      <c r="L70" s="156" t="s">
        <v>2168</v>
      </c>
      <c r="M70" s="156">
        <v>5</v>
      </c>
      <c r="N70" s="159">
        <v>950000</v>
      </c>
      <c r="O70" s="160">
        <v>1</v>
      </c>
      <c r="P70" s="160">
        <v>1</v>
      </c>
      <c r="Q70" s="160">
        <v>0</v>
      </c>
      <c r="R70" s="159">
        <v>1</v>
      </c>
      <c r="S70" s="157"/>
      <c r="T70" s="157"/>
      <c r="U70" s="161">
        <v>0</v>
      </c>
      <c r="V70" s="158" t="s">
        <v>852</v>
      </c>
      <c r="W70" s="158" t="s">
        <v>627</v>
      </c>
      <c r="X70" s="158"/>
      <c r="Y70" s="162" t="s">
        <v>2185</v>
      </c>
      <c r="Z70" s="163" t="s">
        <v>2191</v>
      </c>
      <c r="AA70" s="163">
        <v>1</v>
      </c>
      <c r="AB70" s="163">
        <v>1</v>
      </c>
      <c r="AC70" s="101">
        <v>1</v>
      </c>
      <c r="AD70" s="101">
        <v>1</v>
      </c>
      <c r="AE70" s="101" t="s">
        <v>2201</v>
      </c>
      <c r="AF70" s="102" t="str">
        <f>IF(ISERROR(VLOOKUP(AE70,小分類・セグメント!$A:$C,3,FALSE)),"",VLOOKUP(AE70,小分類・セグメント!$A:$C,3,FALSE))</f>
        <v>ECD</v>
      </c>
      <c r="AG70" s="103" t="str">
        <f>IF(ISERROR(VLOOKUP(AE70,小細分類・事業部マスタ!$E:$H,4,FALSE)),"",VLOOKUP(AE70,小細分類・事業部マスタ!$E:$H,4,FALSE))</f>
        <v>パワーデバイス事業部</v>
      </c>
      <c r="AH70" s="101" t="s">
        <v>2206</v>
      </c>
      <c r="AI70" s="104">
        <f>IF(ISERROR(VLOOKUP(AJ70,設置場所!$A:$B,2,FALSE)),"",VLOOKUP(AJ70,設置場所!$A:$B,2,FALSE))</f>
        <v>900000030</v>
      </c>
      <c r="AJ70" s="101" t="s">
        <v>2191</v>
      </c>
      <c r="AK70" s="101" t="s">
        <v>1331</v>
      </c>
      <c r="AL70" s="101" t="s">
        <v>1336</v>
      </c>
      <c r="AM70" s="101"/>
      <c r="AN70" s="101"/>
      <c r="AO70" s="101"/>
      <c r="AP70" s="101"/>
      <c r="AQ70" s="101"/>
      <c r="AR70" s="105"/>
      <c r="AS70" s="171"/>
    </row>
    <row r="71" spans="1:45">
      <c r="A71" s="131" t="s">
        <v>1224</v>
      </c>
      <c r="B71" s="156" t="s">
        <v>1337</v>
      </c>
      <c r="C71" s="156" t="s">
        <v>1321</v>
      </c>
      <c r="D71" s="156" t="s">
        <v>1418</v>
      </c>
      <c r="E71" s="156" t="s">
        <v>1618</v>
      </c>
      <c r="F71" s="156" t="s">
        <v>1744</v>
      </c>
      <c r="G71" s="157">
        <v>42073</v>
      </c>
      <c r="H71" s="158" t="s">
        <v>1918</v>
      </c>
      <c r="I71" s="158" t="s">
        <v>2007</v>
      </c>
      <c r="J71" s="156" t="s">
        <v>2142</v>
      </c>
      <c r="K71" s="156" t="s">
        <v>2157</v>
      </c>
      <c r="L71" s="156" t="s">
        <v>2168</v>
      </c>
      <c r="M71" s="156">
        <v>8</v>
      </c>
      <c r="N71" s="159">
        <v>6288525</v>
      </c>
      <c r="O71" s="160">
        <v>1</v>
      </c>
      <c r="P71" s="160">
        <v>1</v>
      </c>
      <c r="Q71" s="160">
        <v>0</v>
      </c>
      <c r="R71" s="159">
        <v>1</v>
      </c>
      <c r="S71" s="157"/>
      <c r="T71" s="157">
        <v>44286</v>
      </c>
      <c r="U71" s="161">
        <v>646829</v>
      </c>
      <c r="V71" s="158" t="s">
        <v>852</v>
      </c>
      <c r="W71" s="158" t="s">
        <v>627</v>
      </c>
      <c r="X71" s="158" t="s">
        <v>2169</v>
      </c>
      <c r="Y71" s="162" t="s">
        <v>2185</v>
      </c>
      <c r="Z71" s="163" t="s">
        <v>2191</v>
      </c>
      <c r="AA71" s="163">
        <v>1</v>
      </c>
      <c r="AB71" s="163">
        <v>4</v>
      </c>
      <c r="AC71" s="101">
        <v>1</v>
      </c>
      <c r="AD71" s="101">
        <v>4</v>
      </c>
      <c r="AE71" s="101" t="s">
        <v>2201</v>
      </c>
      <c r="AF71" s="102" t="str">
        <f>IF(ISERROR(VLOOKUP(AE71,小分類・セグメント!$A:$C,3,FALSE)),"",VLOOKUP(AE71,小分類・セグメント!$A:$C,3,FALSE))</f>
        <v>ECD</v>
      </c>
      <c r="AG71" s="103" t="str">
        <f>IF(ISERROR(VLOOKUP(AE71,小細分類・事業部マスタ!$E:$H,4,FALSE)),"",VLOOKUP(AE71,小細分類・事業部マスタ!$E:$H,4,FALSE))</f>
        <v>パワーデバイス事業部</v>
      </c>
      <c r="AH71" s="101" t="s">
        <v>2206</v>
      </c>
      <c r="AI71" s="104">
        <f>IF(ISERROR(VLOOKUP(AJ71,設置場所!$A:$B,2,FALSE)),"",VLOOKUP(AJ71,設置場所!$A:$B,2,FALSE))</f>
        <v>900000030</v>
      </c>
      <c r="AJ71" s="101" t="s">
        <v>2191</v>
      </c>
      <c r="AK71" s="101" t="s">
        <v>1331</v>
      </c>
      <c r="AL71" s="101" t="s">
        <v>1336</v>
      </c>
      <c r="AM71" s="101"/>
      <c r="AN71" s="101"/>
      <c r="AO71" s="101"/>
      <c r="AP71" s="101"/>
      <c r="AQ71" s="101"/>
      <c r="AR71" s="105"/>
      <c r="AS71" s="171"/>
    </row>
    <row r="72" spans="1:45">
      <c r="A72" s="131" t="s">
        <v>1224</v>
      </c>
      <c r="B72" s="156" t="s">
        <v>1337</v>
      </c>
      <c r="C72" s="156" t="s">
        <v>1321</v>
      </c>
      <c r="D72" s="156" t="s">
        <v>1419</v>
      </c>
      <c r="E72" s="156" t="s">
        <v>1618</v>
      </c>
      <c r="F72" s="156" t="s">
        <v>1745</v>
      </c>
      <c r="G72" s="157">
        <v>42073</v>
      </c>
      <c r="H72" s="158" t="s">
        <v>1922</v>
      </c>
      <c r="I72" s="158" t="s">
        <v>2008</v>
      </c>
      <c r="J72" s="156" t="s">
        <v>2142</v>
      </c>
      <c r="K72" s="156" t="s">
        <v>2157</v>
      </c>
      <c r="L72" s="156" t="s">
        <v>2168</v>
      </c>
      <c r="M72" s="156">
        <v>8</v>
      </c>
      <c r="N72" s="159">
        <v>1449111</v>
      </c>
      <c r="O72" s="160">
        <v>1</v>
      </c>
      <c r="P72" s="160">
        <v>1</v>
      </c>
      <c r="Q72" s="160">
        <v>0</v>
      </c>
      <c r="R72" s="159">
        <v>1</v>
      </c>
      <c r="S72" s="157"/>
      <c r="T72" s="157">
        <v>44286</v>
      </c>
      <c r="U72" s="161">
        <v>149053</v>
      </c>
      <c r="V72" s="158" t="s">
        <v>852</v>
      </c>
      <c r="W72" s="158" t="s">
        <v>627</v>
      </c>
      <c r="X72" s="158" t="s">
        <v>2169</v>
      </c>
      <c r="Y72" s="162" t="s">
        <v>2185</v>
      </c>
      <c r="Z72" s="163" t="s">
        <v>2191</v>
      </c>
      <c r="AA72" s="163">
        <v>1</v>
      </c>
      <c r="AB72" s="163">
        <v>4</v>
      </c>
      <c r="AC72" s="101">
        <v>1</v>
      </c>
      <c r="AD72" s="101">
        <v>4</v>
      </c>
      <c r="AE72" s="101" t="s">
        <v>2201</v>
      </c>
      <c r="AF72" s="102" t="str">
        <f>IF(ISERROR(VLOOKUP(AE72,小分類・セグメント!$A:$C,3,FALSE)),"",VLOOKUP(AE72,小分類・セグメント!$A:$C,3,FALSE))</f>
        <v>ECD</v>
      </c>
      <c r="AG72" s="103" t="str">
        <f>IF(ISERROR(VLOOKUP(AE72,小細分類・事業部マスタ!$E:$H,4,FALSE)),"",VLOOKUP(AE72,小細分類・事業部マスタ!$E:$H,4,FALSE))</f>
        <v>パワーデバイス事業部</v>
      </c>
      <c r="AH72" s="101" t="s">
        <v>2206</v>
      </c>
      <c r="AI72" s="104">
        <f>IF(ISERROR(VLOOKUP(AJ72,設置場所!$A:$B,2,FALSE)),"",VLOOKUP(AJ72,設置場所!$A:$B,2,FALSE))</f>
        <v>900000030</v>
      </c>
      <c r="AJ72" s="101" t="s">
        <v>2191</v>
      </c>
      <c r="AK72" s="101" t="s">
        <v>1331</v>
      </c>
      <c r="AL72" s="101" t="s">
        <v>1336</v>
      </c>
      <c r="AM72" s="101"/>
      <c r="AN72" s="101"/>
      <c r="AO72" s="101"/>
      <c r="AP72" s="101"/>
      <c r="AQ72" s="101"/>
      <c r="AR72" s="105"/>
      <c r="AS72" s="171"/>
    </row>
    <row r="73" spans="1:45">
      <c r="A73" s="131" t="s">
        <v>1224</v>
      </c>
      <c r="B73" s="156" t="s">
        <v>1337</v>
      </c>
      <c r="C73" s="156" t="s">
        <v>1321</v>
      </c>
      <c r="D73" s="156" t="s">
        <v>1420</v>
      </c>
      <c r="E73" s="156"/>
      <c r="F73" s="156" t="s">
        <v>1746</v>
      </c>
      <c r="G73" s="157">
        <v>43178</v>
      </c>
      <c r="H73" s="158" t="s">
        <v>1914</v>
      </c>
      <c r="I73" s="158" t="s">
        <v>2009</v>
      </c>
      <c r="J73" s="156" t="s">
        <v>2142</v>
      </c>
      <c r="K73" s="156" t="s">
        <v>2157</v>
      </c>
      <c r="L73" s="156" t="s">
        <v>2168</v>
      </c>
      <c r="M73" s="156">
        <v>8</v>
      </c>
      <c r="N73" s="159">
        <v>2990090</v>
      </c>
      <c r="O73" s="160">
        <v>1</v>
      </c>
      <c r="P73" s="160">
        <v>1</v>
      </c>
      <c r="Q73" s="160">
        <v>0</v>
      </c>
      <c r="R73" s="159">
        <v>1</v>
      </c>
      <c r="S73" s="157"/>
      <c r="T73" s="157">
        <v>44286</v>
      </c>
      <c r="U73" s="161">
        <v>1235164</v>
      </c>
      <c r="V73" s="158" t="s">
        <v>852</v>
      </c>
      <c r="W73" s="158" t="s">
        <v>627</v>
      </c>
      <c r="X73" s="158" t="s">
        <v>2169</v>
      </c>
      <c r="Y73" s="162" t="s">
        <v>2185</v>
      </c>
      <c r="Z73" s="163" t="s">
        <v>2191</v>
      </c>
      <c r="AA73" s="163">
        <v>1</v>
      </c>
      <c r="AB73" s="163">
        <v>4</v>
      </c>
      <c r="AC73" s="101">
        <v>1</v>
      </c>
      <c r="AD73" s="101">
        <v>4</v>
      </c>
      <c r="AE73" s="101" t="s">
        <v>2201</v>
      </c>
      <c r="AF73" s="102" t="str">
        <f>IF(ISERROR(VLOOKUP(AE73,小分類・セグメント!$A:$C,3,FALSE)),"",VLOOKUP(AE73,小分類・セグメント!$A:$C,3,FALSE))</f>
        <v>ECD</v>
      </c>
      <c r="AG73" s="103" t="str">
        <f>IF(ISERROR(VLOOKUP(AE73,小細分類・事業部マスタ!$E:$H,4,FALSE)),"",VLOOKUP(AE73,小細分類・事業部マスタ!$E:$H,4,FALSE))</f>
        <v>パワーデバイス事業部</v>
      </c>
      <c r="AH73" s="101" t="s">
        <v>2206</v>
      </c>
      <c r="AI73" s="104">
        <f>IF(ISERROR(VLOOKUP(AJ73,設置場所!$A:$B,2,FALSE)),"",VLOOKUP(AJ73,設置場所!$A:$B,2,FALSE))</f>
        <v>900000030</v>
      </c>
      <c r="AJ73" s="101" t="s">
        <v>2191</v>
      </c>
      <c r="AK73" s="101" t="s">
        <v>1331</v>
      </c>
      <c r="AL73" s="101" t="s">
        <v>1336</v>
      </c>
      <c r="AM73" s="101"/>
      <c r="AN73" s="101"/>
      <c r="AO73" s="101"/>
      <c r="AP73" s="101"/>
      <c r="AQ73" s="101"/>
      <c r="AR73" s="105"/>
      <c r="AS73" s="171"/>
    </row>
    <row r="74" spans="1:45">
      <c r="A74" s="131" t="s">
        <v>1224</v>
      </c>
      <c r="B74" s="156" t="s">
        <v>1337</v>
      </c>
      <c r="C74" s="156" t="s">
        <v>1321</v>
      </c>
      <c r="D74" s="156" t="s">
        <v>1421</v>
      </c>
      <c r="E74" s="156" t="s">
        <v>1619</v>
      </c>
      <c r="F74" s="156" t="s">
        <v>1747</v>
      </c>
      <c r="G74" s="157">
        <v>42207</v>
      </c>
      <c r="H74" s="158" t="s">
        <v>1918</v>
      </c>
      <c r="I74" s="158" t="s">
        <v>2010</v>
      </c>
      <c r="J74" s="156" t="s">
        <v>2141</v>
      </c>
      <c r="K74" s="156" t="s">
        <v>2156</v>
      </c>
      <c r="L74" s="156" t="s">
        <v>2168</v>
      </c>
      <c r="M74" s="156">
        <v>8</v>
      </c>
      <c r="N74" s="159">
        <v>2577500</v>
      </c>
      <c r="O74" s="160">
        <v>1</v>
      </c>
      <c r="P74" s="160">
        <v>1</v>
      </c>
      <c r="Q74" s="160">
        <v>0</v>
      </c>
      <c r="R74" s="159">
        <v>1</v>
      </c>
      <c r="S74" s="157"/>
      <c r="T74" s="157">
        <v>44286</v>
      </c>
      <c r="U74" s="161">
        <v>441308</v>
      </c>
      <c r="V74" s="158" t="s">
        <v>852</v>
      </c>
      <c r="W74" s="158" t="s">
        <v>627</v>
      </c>
      <c r="X74" s="158"/>
      <c r="Y74" s="162" t="s">
        <v>2185</v>
      </c>
      <c r="Z74" s="163" t="s">
        <v>2191</v>
      </c>
      <c r="AA74" s="163">
        <v>1</v>
      </c>
      <c r="AB74" s="163">
        <v>1</v>
      </c>
      <c r="AC74" s="101">
        <v>1</v>
      </c>
      <c r="AD74" s="101">
        <v>1</v>
      </c>
      <c r="AE74" s="101" t="s">
        <v>2201</v>
      </c>
      <c r="AF74" s="102" t="str">
        <f>IF(ISERROR(VLOOKUP(AE74,小分類・セグメント!$A:$C,3,FALSE)),"",VLOOKUP(AE74,小分類・セグメント!$A:$C,3,FALSE))</f>
        <v>ECD</v>
      </c>
      <c r="AG74" s="103" t="str">
        <f>IF(ISERROR(VLOOKUP(AE74,小細分類・事業部マスタ!$E:$H,4,FALSE)),"",VLOOKUP(AE74,小細分類・事業部マスタ!$E:$H,4,FALSE))</f>
        <v>パワーデバイス事業部</v>
      </c>
      <c r="AH74" s="101" t="s">
        <v>2206</v>
      </c>
      <c r="AI74" s="104">
        <f>IF(ISERROR(VLOOKUP(AJ74,設置場所!$A:$B,2,FALSE)),"",VLOOKUP(AJ74,設置場所!$A:$B,2,FALSE))</f>
        <v>900000030</v>
      </c>
      <c r="AJ74" s="101" t="s">
        <v>2191</v>
      </c>
      <c r="AK74" s="101" t="s">
        <v>1331</v>
      </c>
      <c r="AL74" s="101" t="s">
        <v>1336</v>
      </c>
      <c r="AM74" s="101"/>
      <c r="AN74" s="101"/>
      <c r="AO74" s="101"/>
      <c r="AP74" s="101"/>
      <c r="AQ74" s="101"/>
      <c r="AR74" s="105"/>
      <c r="AS74" s="171"/>
    </row>
    <row r="75" spans="1:45">
      <c r="A75" s="131" t="s">
        <v>1224</v>
      </c>
      <c r="B75" s="156" t="s">
        <v>1337</v>
      </c>
      <c r="C75" s="156" t="s">
        <v>1321</v>
      </c>
      <c r="D75" s="156" t="s">
        <v>1422</v>
      </c>
      <c r="E75" s="156" t="s">
        <v>1620</v>
      </c>
      <c r="F75" s="156" t="s">
        <v>1748</v>
      </c>
      <c r="G75" s="157">
        <v>42207</v>
      </c>
      <c r="H75" s="158" t="s">
        <v>1918</v>
      </c>
      <c r="I75" s="158" t="s">
        <v>2011</v>
      </c>
      <c r="J75" s="156" t="s">
        <v>2141</v>
      </c>
      <c r="K75" s="156" t="s">
        <v>2156</v>
      </c>
      <c r="L75" s="156" t="s">
        <v>2168</v>
      </c>
      <c r="M75" s="156">
        <v>8</v>
      </c>
      <c r="N75" s="159">
        <v>2577500</v>
      </c>
      <c r="O75" s="160">
        <v>1</v>
      </c>
      <c r="P75" s="160">
        <v>1</v>
      </c>
      <c r="Q75" s="160">
        <v>0</v>
      </c>
      <c r="R75" s="159">
        <v>1</v>
      </c>
      <c r="S75" s="157"/>
      <c r="T75" s="157">
        <v>44286</v>
      </c>
      <c r="U75" s="161">
        <v>441308</v>
      </c>
      <c r="V75" s="158" t="s">
        <v>852</v>
      </c>
      <c r="W75" s="158" t="s">
        <v>627</v>
      </c>
      <c r="X75" s="158"/>
      <c r="Y75" s="162" t="s">
        <v>2185</v>
      </c>
      <c r="Z75" s="163" t="s">
        <v>2191</v>
      </c>
      <c r="AA75" s="163">
        <v>1</v>
      </c>
      <c r="AB75" s="163">
        <v>1</v>
      </c>
      <c r="AC75" s="101">
        <v>1</v>
      </c>
      <c r="AD75" s="101">
        <v>1</v>
      </c>
      <c r="AE75" s="101" t="s">
        <v>2201</v>
      </c>
      <c r="AF75" s="102" t="str">
        <f>IF(ISERROR(VLOOKUP(AE75,小分類・セグメント!$A:$C,3,FALSE)),"",VLOOKUP(AE75,小分類・セグメント!$A:$C,3,FALSE))</f>
        <v>ECD</v>
      </c>
      <c r="AG75" s="103" t="str">
        <f>IF(ISERROR(VLOOKUP(AE75,小細分類・事業部マスタ!$E:$H,4,FALSE)),"",VLOOKUP(AE75,小細分類・事業部マスタ!$E:$H,4,FALSE))</f>
        <v>パワーデバイス事業部</v>
      </c>
      <c r="AH75" s="101" t="s">
        <v>2206</v>
      </c>
      <c r="AI75" s="104">
        <f>IF(ISERROR(VLOOKUP(AJ75,設置場所!$A:$B,2,FALSE)),"",VLOOKUP(AJ75,設置場所!$A:$B,2,FALSE))</f>
        <v>900000030</v>
      </c>
      <c r="AJ75" s="101" t="s">
        <v>2191</v>
      </c>
      <c r="AK75" s="101" t="s">
        <v>1331</v>
      </c>
      <c r="AL75" s="101" t="s">
        <v>1336</v>
      </c>
      <c r="AM75" s="101"/>
      <c r="AN75" s="101"/>
      <c r="AO75" s="101"/>
      <c r="AP75" s="101"/>
      <c r="AQ75" s="101"/>
      <c r="AR75" s="105"/>
      <c r="AS75" s="171"/>
    </row>
    <row r="76" spans="1:45">
      <c r="A76" s="131" t="s">
        <v>1224</v>
      </c>
      <c r="B76" s="156" t="s">
        <v>1337</v>
      </c>
      <c r="C76" s="156" t="s">
        <v>1321</v>
      </c>
      <c r="D76" s="156" t="s">
        <v>1423</v>
      </c>
      <c r="E76" s="156" t="s">
        <v>1621</v>
      </c>
      <c r="F76" s="156" t="s">
        <v>1749</v>
      </c>
      <c r="G76" s="157">
        <v>42195</v>
      </c>
      <c r="H76" s="158" t="s">
        <v>1922</v>
      </c>
      <c r="I76" s="158" t="s">
        <v>2012</v>
      </c>
      <c r="J76" s="156" t="s">
        <v>2145</v>
      </c>
      <c r="K76" s="156" t="s">
        <v>2160</v>
      </c>
      <c r="L76" s="156" t="s">
        <v>2168</v>
      </c>
      <c r="M76" s="156">
        <v>8</v>
      </c>
      <c r="N76" s="159">
        <v>1990000</v>
      </c>
      <c r="O76" s="160">
        <v>1</v>
      </c>
      <c r="P76" s="160">
        <v>1</v>
      </c>
      <c r="Q76" s="160">
        <v>0</v>
      </c>
      <c r="R76" s="159">
        <v>1</v>
      </c>
      <c r="S76" s="157"/>
      <c r="T76" s="157">
        <v>44286</v>
      </c>
      <c r="U76" s="161">
        <v>340718</v>
      </c>
      <c r="V76" s="158" t="s">
        <v>852</v>
      </c>
      <c r="W76" s="158" t="s">
        <v>627</v>
      </c>
      <c r="X76" s="158"/>
      <c r="Y76" s="162" t="s">
        <v>2185</v>
      </c>
      <c r="Z76" s="163" t="s">
        <v>2191</v>
      </c>
      <c r="AA76" s="163">
        <v>1</v>
      </c>
      <c r="AB76" s="163">
        <v>1</v>
      </c>
      <c r="AC76" s="101">
        <v>1</v>
      </c>
      <c r="AD76" s="101">
        <v>1</v>
      </c>
      <c r="AE76" s="101" t="s">
        <v>2201</v>
      </c>
      <c r="AF76" s="102" t="str">
        <f>IF(ISERROR(VLOOKUP(AE76,小分類・セグメント!$A:$C,3,FALSE)),"",VLOOKUP(AE76,小分類・セグメント!$A:$C,3,FALSE))</f>
        <v>ECD</v>
      </c>
      <c r="AG76" s="103" t="str">
        <f>IF(ISERROR(VLOOKUP(AE76,小細分類・事業部マスタ!$E:$H,4,FALSE)),"",VLOOKUP(AE76,小細分類・事業部マスタ!$E:$H,4,FALSE))</f>
        <v>パワーデバイス事業部</v>
      </c>
      <c r="AH76" s="101" t="s">
        <v>2206</v>
      </c>
      <c r="AI76" s="104">
        <f>IF(ISERROR(VLOOKUP(AJ76,設置場所!$A:$B,2,FALSE)),"",VLOOKUP(AJ76,設置場所!$A:$B,2,FALSE))</f>
        <v>900000030</v>
      </c>
      <c r="AJ76" s="101" t="s">
        <v>2191</v>
      </c>
      <c r="AK76" s="101" t="s">
        <v>1331</v>
      </c>
      <c r="AL76" s="101" t="s">
        <v>1336</v>
      </c>
      <c r="AM76" s="101"/>
      <c r="AN76" s="101"/>
      <c r="AO76" s="101"/>
      <c r="AP76" s="101"/>
      <c r="AQ76" s="101"/>
      <c r="AR76" s="105"/>
      <c r="AS76" s="171"/>
    </row>
    <row r="77" spans="1:45">
      <c r="A77" s="131" t="s">
        <v>1224</v>
      </c>
      <c r="B77" s="156" t="s">
        <v>1337</v>
      </c>
      <c r="C77" s="156" t="s">
        <v>1321</v>
      </c>
      <c r="D77" s="156" t="s">
        <v>1424</v>
      </c>
      <c r="E77" s="156" t="s">
        <v>1622</v>
      </c>
      <c r="F77" s="156" t="s">
        <v>1750</v>
      </c>
      <c r="G77" s="157">
        <v>42216</v>
      </c>
      <c r="H77" s="158" t="s">
        <v>1922</v>
      </c>
      <c r="I77" s="158" t="s">
        <v>2013</v>
      </c>
      <c r="J77" s="156" t="s">
        <v>2140</v>
      </c>
      <c r="K77" s="156" t="s">
        <v>2155</v>
      </c>
      <c r="L77" s="156" t="s">
        <v>2168</v>
      </c>
      <c r="M77" s="156">
        <v>8</v>
      </c>
      <c r="N77" s="159">
        <v>3420000</v>
      </c>
      <c r="O77" s="160">
        <v>1</v>
      </c>
      <c r="P77" s="160">
        <v>1</v>
      </c>
      <c r="Q77" s="160">
        <v>0</v>
      </c>
      <c r="R77" s="159">
        <v>1</v>
      </c>
      <c r="S77" s="157"/>
      <c r="T77" s="157">
        <v>44286</v>
      </c>
      <c r="U77" s="161">
        <v>585557</v>
      </c>
      <c r="V77" s="158" t="s">
        <v>852</v>
      </c>
      <c r="W77" s="158" t="s">
        <v>627</v>
      </c>
      <c r="X77" s="158"/>
      <c r="Y77" s="162" t="s">
        <v>2185</v>
      </c>
      <c r="Z77" s="163" t="s">
        <v>2191</v>
      </c>
      <c r="AA77" s="163">
        <v>1</v>
      </c>
      <c r="AB77" s="163">
        <v>1</v>
      </c>
      <c r="AC77" s="101">
        <v>1</v>
      </c>
      <c r="AD77" s="101">
        <v>1</v>
      </c>
      <c r="AE77" s="101" t="s">
        <v>2201</v>
      </c>
      <c r="AF77" s="102" t="str">
        <f>IF(ISERROR(VLOOKUP(AE77,小分類・セグメント!$A:$C,3,FALSE)),"",VLOOKUP(AE77,小分類・セグメント!$A:$C,3,FALSE))</f>
        <v>ECD</v>
      </c>
      <c r="AG77" s="103" t="str">
        <f>IF(ISERROR(VLOOKUP(AE77,小細分類・事業部マスタ!$E:$H,4,FALSE)),"",VLOOKUP(AE77,小細分類・事業部マスタ!$E:$H,4,FALSE))</f>
        <v>パワーデバイス事業部</v>
      </c>
      <c r="AH77" s="101" t="s">
        <v>2206</v>
      </c>
      <c r="AI77" s="104">
        <f>IF(ISERROR(VLOOKUP(AJ77,設置場所!$A:$B,2,FALSE)),"",VLOOKUP(AJ77,設置場所!$A:$B,2,FALSE))</f>
        <v>900000030</v>
      </c>
      <c r="AJ77" s="101" t="s">
        <v>2191</v>
      </c>
      <c r="AK77" s="101" t="s">
        <v>1331</v>
      </c>
      <c r="AL77" s="101" t="s">
        <v>1336</v>
      </c>
      <c r="AM77" s="101"/>
      <c r="AN77" s="101"/>
      <c r="AO77" s="101"/>
      <c r="AP77" s="101"/>
      <c r="AQ77" s="101"/>
      <c r="AR77" s="105"/>
      <c r="AS77" s="171"/>
    </row>
    <row r="78" spans="1:45">
      <c r="A78" s="131" t="s">
        <v>1224</v>
      </c>
      <c r="B78" s="156" t="s">
        <v>1337</v>
      </c>
      <c r="C78" s="156" t="s">
        <v>1321</v>
      </c>
      <c r="D78" s="156" t="s">
        <v>1425</v>
      </c>
      <c r="E78" s="156" t="s">
        <v>1623</v>
      </c>
      <c r="F78" s="156" t="s">
        <v>1751</v>
      </c>
      <c r="G78" s="157">
        <v>42216</v>
      </c>
      <c r="H78" s="158" t="s">
        <v>1922</v>
      </c>
      <c r="I78" s="158" t="s">
        <v>2014</v>
      </c>
      <c r="J78" s="156" t="s">
        <v>2140</v>
      </c>
      <c r="K78" s="156" t="s">
        <v>2155</v>
      </c>
      <c r="L78" s="156" t="s">
        <v>2168</v>
      </c>
      <c r="M78" s="156">
        <v>8</v>
      </c>
      <c r="N78" s="159">
        <v>3360000</v>
      </c>
      <c r="O78" s="160">
        <v>1</v>
      </c>
      <c r="P78" s="160">
        <v>1</v>
      </c>
      <c r="Q78" s="160">
        <v>0</v>
      </c>
      <c r="R78" s="159">
        <v>1</v>
      </c>
      <c r="S78" s="157"/>
      <c r="T78" s="157">
        <v>44286</v>
      </c>
      <c r="U78" s="161">
        <v>575284</v>
      </c>
      <c r="V78" s="158" t="s">
        <v>852</v>
      </c>
      <c r="W78" s="158" t="s">
        <v>627</v>
      </c>
      <c r="X78" s="158"/>
      <c r="Y78" s="162" t="s">
        <v>2185</v>
      </c>
      <c r="Z78" s="163" t="s">
        <v>2191</v>
      </c>
      <c r="AA78" s="163">
        <v>1</v>
      </c>
      <c r="AB78" s="163">
        <v>4</v>
      </c>
      <c r="AC78" s="101">
        <v>1</v>
      </c>
      <c r="AD78" s="101">
        <v>4</v>
      </c>
      <c r="AE78" s="101" t="s">
        <v>2201</v>
      </c>
      <c r="AF78" s="102" t="str">
        <f>IF(ISERROR(VLOOKUP(AE78,小分類・セグメント!$A:$C,3,FALSE)),"",VLOOKUP(AE78,小分類・セグメント!$A:$C,3,FALSE))</f>
        <v>ECD</v>
      </c>
      <c r="AG78" s="103" t="str">
        <f>IF(ISERROR(VLOOKUP(AE78,小細分類・事業部マスタ!$E:$H,4,FALSE)),"",VLOOKUP(AE78,小細分類・事業部マスタ!$E:$H,4,FALSE))</f>
        <v>パワーデバイス事業部</v>
      </c>
      <c r="AH78" s="101" t="s">
        <v>2206</v>
      </c>
      <c r="AI78" s="104">
        <f>IF(ISERROR(VLOOKUP(AJ78,設置場所!$A:$B,2,FALSE)),"",VLOOKUP(AJ78,設置場所!$A:$B,2,FALSE))</f>
        <v>900000030</v>
      </c>
      <c r="AJ78" s="101" t="s">
        <v>2191</v>
      </c>
      <c r="AK78" s="101" t="s">
        <v>1331</v>
      </c>
      <c r="AL78" s="101" t="s">
        <v>1336</v>
      </c>
      <c r="AM78" s="101"/>
      <c r="AN78" s="101"/>
      <c r="AO78" s="101"/>
      <c r="AP78" s="101"/>
      <c r="AQ78" s="101"/>
      <c r="AR78" s="105"/>
      <c r="AS78" s="171"/>
    </row>
    <row r="79" spans="1:45">
      <c r="A79" s="131" t="s">
        <v>1224</v>
      </c>
      <c r="B79" s="156" t="s">
        <v>1337</v>
      </c>
      <c r="C79" s="156" t="s">
        <v>1321</v>
      </c>
      <c r="D79" s="156" t="s">
        <v>1426</v>
      </c>
      <c r="E79" s="156" t="s">
        <v>1624</v>
      </c>
      <c r="F79" s="156" t="s">
        <v>1752</v>
      </c>
      <c r="G79" s="157">
        <v>42216</v>
      </c>
      <c r="H79" s="158" t="s">
        <v>1918</v>
      </c>
      <c r="I79" s="158" t="s">
        <v>2015</v>
      </c>
      <c r="J79" s="156" t="s">
        <v>2145</v>
      </c>
      <c r="K79" s="156" t="s">
        <v>2160</v>
      </c>
      <c r="L79" s="156" t="s">
        <v>2168</v>
      </c>
      <c r="M79" s="156">
        <v>8</v>
      </c>
      <c r="N79" s="159">
        <v>950000</v>
      </c>
      <c r="O79" s="160">
        <v>1</v>
      </c>
      <c r="P79" s="160">
        <v>1</v>
      </c>
      <c r="Q79" s="160">
        <v>0</v>
      </c>
      <c r="R79" s="159">
        <v>1</v>
      </c>
      <c r="S79" s="157"/>
      <c r="T79" s="157">
        <v>44286</v>
      </c>
      <c r="U79" s="161">
        <v>162655</v>
      </c>
      <c r="V79" s="158" t="s">
        <v>852</v>
      </c>
      <c r="W79" s="158" t="s">
        <v>627</v>
      </c>
      <c r="X79" s="158" t="s">
        <v>2169</v>
      </c>
      <c r="Y79" s="162" t="s">
        <v>2185</v>
      </c>
      <c r="Z79" s="163" t="s">
        <v>2191</v>
      </c>
      <c r="AA79" s="163">
        <v>1</v>
      </c>
      <c r="AB79" s="163">
        <v>1</v>
      </c>
      <c r="AC79" s="101">
        <v>1</v>
      </c>
      <c r="AD79" s="101">
        <v>1</v>
      </c>
      <c r="AE79" s="101" t="s">
        <v>2201</v>
      </c>
      <c r="AF79" s="102" t="str">
        <f>IF(ISERROR(VLOOKUP(AE79,小分類・セグメント!$A:$C,3,FALSE)),"",VLOOKUP(AE79,小分類・セグメント!$A:$C,3,FALSE))</f>
        <v>ECD</v>
      </c>
      <c r="AG79" s="103" t="str">
        <f>IF(ISERROR(VLOOKUP(AE79,小細分類・事業部マスタ!$E:$H,4,FALSE)),"",VLOOKUP(AE79,小細分類・事業部マスタ!$E:$H,4,FALSE))</f>
        <v>パワーデバイス事業部</v>
      </c>
      <c r="AH79" s="101" t="s">
        <v>2206</v>
      </c>
      <c r="AI79" s="104">
        <f>IF(ISERROR(VLOOKUP(AJ79,設置場所!$A:$B,2,FALSE)),"",VLOOKUP(AJ79,設置場所!$A:$B,2,FALSE))</f>
        <v>900000030</v>
      </c>
      <c r="AJ79" s="101" t="s">
        <v>2191</v>
      </c>
      <c r="AK79" s="101" t="s">
        <v>1331</v>
      </c>
      <c r="AL79" s="101" t="s">
        <v>1336</v>
      </c>
      <c r="AM79" s="101"/>
      <c r="AN79" s="101"/>
      <c r="AO79" s="101"/>
      <c r="AP79" s="101"/>
      <c r="AQ79" s="101"/>
      <c r="AR79" s="105"/>
      <c r="AS79" s="171"/>
    </row>
    <row r="80" spans="1:45">
      <c r="A80" s="131" t="s">
        <v>1224</v>
      </c>
      <c r="B80" s="156" t="s">
        <v>1337</v>
      </c>
      <c r="C80" s="156" t="s">
        <v>1321</v>
      </c>
      <c r="D80" s="156" t="s">
        <v>1427</v>
      </c>
      <c r="E80" s="156" t="s">
        <v>1625</v>
      </c>
      <c r="F80" s="156" t="s">
        <v>1753</v>
      </c>
      <c r="G80" s="157">
        <v>42216</v>
      </c>
      <c r="H80" s="158" t="s">
        <v>1918</v>
      </c>
      <c r="I80" s="158" t="s">
        <v>2016</v>
      </c>
      <c r="J80" s="156" t="s">
        <v>2145</v>
      </c>
      <c r="K80" s="156" t="s">
        <v>2160</v>
      </c>
      <c r="L80" s="156" t="s">
        <v>2168</v>
      </c>
      <c r="M80" s="156">
        <v>8</v>
      </c>
      <c r="N80" s="159">
        <v>950000</v>
      </c>
      <c r="O80" s="160">
        <v>1</v>
      </c>
      <c r="P80" s="160">
        <v>1</v>
      </c>
      <c r="Q80" s="160">
        <v>0</v>
      </c>
      <c r="R80" s="159">
        <v>1</v>
      </c>
      <c r="S80" s="157"/>
      <c r="T80" s="157">
        <v>44286</v>
      </c>
      <c r="U80" s="161">
        <v>162655</v>
      </c>
      <c r="V80" s="158" t="s">
        <v>852</v>
      </c>
      <c r="W80" s="158" t="s">
        <v>627</v>
      </c>
      <c r="X80" s="158"/>
      <c r="Y80" s="162" t="s">
        <v>2185</v>
      </c>
      <c r="Z80" s="163" t="s">
        <v>2191</v>
      </c>
      <c r="AA80" s="163">
        <v>1</v>
      </c>
      <c r="AB80" s="163">
        <v>1</v>
      </c>
      <c r="AC80" s="101">
        <v>1</v>
      </c>
      <c r="AD80" s="101">
        <v>1</v>
      </c>
      <c r="AE80" s="101" t="s">
        <v>2201</v>
      </c>
      <c r="AF80" s="102" t="str">
        <f>IF(ISERROR(VLOOKUP(AE80,小分類・セグメント!$A:$C,3,FALSE)),"",VLOOKUP(AE80,小分類・セグメント!$A:$C,3,FALSE))</f>
        <v>ECD</v>
      </c>
      <c r="AG80" s="103" t="str">
        <f>IF(ISERROR(VLOOKUP(AE80,小細分類・事業部マスタ!$E:$H,4,FALSE)),"",VLOOKUP(AE80,小細分類・事業部マスタ!$E:$H,4,FALSE))</f>
        <v>パワーデバイス事業部</v>
      </c>
      <c r="AH80" s="101" t="s">
        <v>2206</v>
      </c>
      <c r="AI80" s="104">
        <f>IF(ISERROR(VLOOKUP(AJ80,設置場所!$A:$B,2,FALSE)),"",VLOOKUP(AJ80,設置場所!$A:$B,2,FALSE))</f>
        <v>900000030</v>
      </c>
      <c r="AJ80" s="101" t="s">
        <v>2191</v>
      </c>
      <c r="AK80" s="101" t="s">
        <v>1331</v>
      </c>
      <c r="AL80" s="101" t="s">
        <v>1336</v>
      </c>
      <c r="AM80" s="101"/>
      <c r="AN80" s="101"/>
      <c r="AO80" s="101"/>
      <c r="AP80" s="101"/>
      <c r="AQ80" s="101"/>
      <c r="AR80" s="105"/>
      <c r="AS80" s="171"/>
    </row>
    <row r="81" spans="1:45">
      <c r="A81" s="131" t="s">
        <v>1224</v>
      </c>
      <c r="B81" s="156" t="s">
        <v>1337</v>
      </c>
      <c r="C81" s="156" t="s">
        <v>1321</v>
      </c>
      <c r="D81" s="156" t="s">
        <v>1428</v>
      </c>
      <c r="E81" s="156" t="s">
        <v>1626</v>
      </c>
      <c r="F81" s="156" t="s">
        <v>1754</v>
      </c>
      <c r="G81" s="157">
        <v>42216</v>
      </c>
      <c r="H81" s="158" t="s">
        <v>1918</v>
      </c>
      <c r="I81" s="158" t="s">
        <v>2017</v>
      </c>
      <c r="J81" s="156" t="s">
        <v>2145</v>
      </c>
      <c r="K81" s="156" t="s">
        <v>2160</v>
      </c>
      <c r="L81" s="156" t="s">
        <v>2168</v>
      </c>
      <c r="M81" s="156">
        <v>8</v>
      </c>
      <c r="N81" s="159">
        <v>950000</v>
      </c>
      <c r="O81" s="160">
        <v>1</v>
      </c>
      <c r="P81" s="160">
        <v>1</v>
      </c>
      <c r="Q81" s="160">
        <v>0</v>
      </c>
      <c r="R81" s="159">
        <v>1</v>
      </c>
      <c r="S81" s="157"/>
      <c r="T81" s="157">
        <v>44286</v>
      </c>
      <c r="U81" s="161">
        <v>162655</v>
      </c>
      <c r="V81" s="158" t="s">
        <v>852</v>
      </c>
      <c r="W81" s="158" t="s">
        <v>627</v>
      </c>
      <c r="X81" s="158" t="s">
        <v>2169</v>
      </c>
      <c r="Y81" s="162" t="s">
        <v>2185</v>
      </c>
      <c r="Z81" s="163" t="s">
        <v>2191</v>
      </c>
      <c r="AA81" s="163">
        <v>1</v>
      </c>
      <c r="AB81" s="163">
        <v>1</v>
      </c>
      <c r="AC81" s="101">
        <v>1</v>
      </c>
      <c r="AD81" s="101">
        <v>1</v>
      </c>
      <c r="AE81" s="101" t="s">
        <v>2201</v>
      </c>
      <c r="AF81" s="102" t="str">
        <f>IF(ISERROR(VLOOKUP(AE81,小分類・セグメント!$A:$C,3,FALSE)),"",VLOOKUP(AE81,小分類・セグメント!$A:$C,3,FALSE))</f>
        <v>ECD</v>
      </c>
      <c r="AG81" s="103" t="str">
        <f>IF(ISERROR(VLOOKUP(AE81,小細分類・事業部マスタ!$E:$H,4,FALSE)),"",VLOOKUP(AE81,小細分類・事業部マスタ!$E:$H,4,FALSE))</f>
        <v>パワーデバイス事業部</v>
      </c>
      <c r="AH81" s="101" t="s">
        <v>2206</v>
      </c>
      <c r="AI81" s="104">
        <f>IF(ISERROR(VLOOKUP(AJ81,設置場所!$A:$B,2,FALSE)),"",VLOOKUP(AJ81,設置場所!$A:$B,2,FALSE))</f>
        <v>900000030</v>
      </c>
      <c r="AJ81" s="101" t="s">
        <v>2191</v>
      </c>
      <c r="AK81" s="101" t="s">
        <v>1331</v>
      </c>
      <c r="AL81" s="101" t="s">
        <v>1336</v>
      </c>
      <c r="AM81" s="101"/>
      <c r="AN81" s="101"/>
      <c r="AO81" s="101"/>
      <c r="AP81" s="101"/>
      <c r="AQ81" s="101"/>
      <c r="AR81" s="105"/>
      <c r="AS81" s="171"/>
    </row>
    <row r="82" spans="1:45">
      <c r="A82" s="131" t="s">
        <v>1224</v>
      </c>
      <c r="B82" s="156" t="s">
        <v>1337</v>
      </c>
      <c r="C82" s="156" t="s">
        <v>1321</v>
      </c>
      <c r="D82" s="156" t="s">
        <v>1429</v>
      </c>
      <c r="E82" s="156" t="s">
        <v>1627</v>
      </c>
      <c r="F82" s="156" t="s">
        <v>1755</v>
      </c>
      <c r="G82" s="157">
        <v>42214</v>
      </c>
      <c r="H82" s="158" t="s">
        <v>1918</v>
      </c>
      <c r="I82" s="158" t="s">
        <v>2018</v>
      </c>
      <c r="J82" s="156" t="s">
        <v>2141</v>
      </c>
      <c r="K82" s="156" t="s">
        <v>2156</v>
      </c>
      <c r="L82" s="156" t="s">
        <v>2168</v>
      </c>
      <c r="M82" s="156">
        <v>8</v>
      </c>
      <c r="N82" s="159">
        <v>5826000</v>
      </c>
      <c r="O82" s="160">
        <v>1</v>
      </c>
      <c r="P82" s="160">
        <v>1</v>
      </c>
      <c r="Q82" s="160">
        <v>0</v>
      </c>
      <c r="R82" s="159">
        <v>1</v>
      </c>
      <c r="S82" s="157"/>
      <c r="T82" s="157">
        <v>44286</v>
      </c>
      <c r="U82" s="161">
        <v>1023077</v>
      </c>
      <c r="V82" s="158" t="s">
        <v>852</v>
      </c>
      <c r="W82" s="158" t="s">
        <v>627</v>
      </c>
      <c r="X82" s="158"/>
      <c r="Y82" s="162" t="s">
        <v>2185</v>
      </c>
      <c r="Z82" s="163" t="s">
        <v>2191</v>
      </c>
      <c r="AA82" s="163">
        <v>1</v>
      </c>
      <c r="AB82" s="163">
        <v>1</v>
      </c>
      <c r="AC82" s="101">
        <v>1</v>
      </c>
      <c r="AD82" s="101">
        <v>1</v>
      </c>
      <c r="AE82" s="101" t="s">
        <v>2201</v>
      </c>
      <c r="AF82" s="102" t="str">
        <f>IF(ISERROR(VLOOKUP(AE82,小分類・セグメント!$A:$C,3,FALSE)),"",VLOOKUP(AE82,小分類・セグメント!$A:$C,3,FALSE))</f>
        <v>ECD</v>
      </c>
      <c r="AG82" s="103" t="str">
        <f>IF(ISERROR(VLOOKUP(AE82,小細分類・事業部マスタ!$E:$H,4,FALSE)),"",VLOOKUP(AE82,小細分類・事業部マスタ!$E:$H,4,FALSE))</f>
        <v>パワーデバイス事業部</v>
      </c>
      <c r="AH82" s="101" t="s">
        <v>2206</v>
      </c>
      <c r="AI82" s="104">
        <f>IF(ISERROR(VLOOKUP(AJ82,設置場所!$A:$B,2,FALSE)),"",VLOOKUP(AJ82,設置場所!$A:$B,2,FALSE))</f>
        <v>900000030</v>
      </c>
      <c r="AJ82" s="101" t="s">
        <v>2191</v>
      </c>
      <c r="AK82" s="101" t="s">
        <v>1331</v>
      </c>
      <c r="AL82" s="101" t="s">
        <v>1336</v>
      </c>
      <c r="AM82" s="101"/>
      <c r="AN82" s="101"/>
      <c r="AO82" s="101"/>
      <c r="AP82" s="101"/>
      <c r="AQ82" s="101"/>
      <c r="AR82" s="105"/>
      <c r="AS82" s="171"/>
    </row>
    <row r="83" spans="1:45">
      <c r="A83" s="131" t="s">
        <v>1224</v>
      </c>
      <c r="B83" s="156" t="s">
        <v>1337</v>
      </c>
      <c r="C83" s="156" t="s">
        <v>1321</v>
      </c>
      <c r="D83" s="156" t="s">
        <v>1430</v>
      </c>
      <c r="E83" s="156" t="s">
        <v>1628</v>
      </c>
      <c r="F83" s="156" t="s">
        <v>1756</v>
      </c>
      <c r="G83" s="157">
        <v>42073</v>
      </c>
      <c r="H83" s="158" t="s">
        <v>1918</v>
      </c>
      <c r="I83" s="158" t="s">
        <v>2019</v>
      </c>
      <c r="J83" s="156" t="s">
        <v>2144</v>
      </c>
      <c r="K83" s="156" t="s">
        <v>2159</v>
      </c>
      <c r="L83" s="156" t="s">
        <v>2168</v>
      </c>
      <c r="M83" s="156">
        <v>8</v>
      </c>
      <c r="N83" s="159">
        <v>48807500</v>
      </c>
      <c r="O83" s="160">
        <v>1</v>
      </c>
      <c r="P83" s="160">
        <v>1</v>
      </c>
      <c r="Q83" s="160">
        <v>0</v>
      </c>
      <c r="R83" s="159">
        <v>1</v>
      </c>
      <c r="S83" s="157"/>
      <c r="T83" s="157">
        <v>44286</v>
      </c>
      <c r="U83" s="161">
        <v>5020261</v>
      </c>
      <c r="V83" s="158" t="s">
        <v>852</v>
      </c>
      <c r="W83" s="158" t="s">
        <v>627</v>
      </c>
      <c r="X83" s="158"/>
      <c r="Y83" s="162" t="s">
        <v>2185</v>
      </c>
      <c r="Z83" s="163" t="s">
        <v>2191</v>
      </c>
      <c r="AA83" s="163">
        <v>1</v>
      </c>
      <c r="AB83" s="163">
        <v>1</v>
      </c>
      <c r="AC83" s="101">
        <v>1</v>
      </c>
      <c r="AD83" s="101">
        <v>1</v>
      </c>
      <c r="AE83" s="101" t="s">
        <v>2201</v>
      </c>
      <c r="AF83" s="102" t="str">
        <f>IF(ISERROR(VLOOKUP(AE83,小分類・セグメント!$A:$C,3,FALSE)),"",VLOOKUP(AE83,小分類・セグメント!$A:$C,3,FALSE))</f>
        <v>ECD</v>
      </c>
      <c r="AG83" s="103" t="str">
        <f>IF(ISERROR(VLOOKUP(AE83,小細分類・事業部マスタ!$E:$H,4,FALSE)),"",VLOOKUP(AE83,小細分類・事業部マスタ!$E:$H,4,FALSE))</f>
        <v>パワーデバイス事業部</v>
      </c>
      <c r="AH83" s="101" t="s">
        <v>2206</v>
      </c>
      <c r="AI83" s="104">
        <f>IF(ISERROR(VLOOKUP(AJ83,設置場所!$A:$B,2,FALSE)),"",VLOOKUP(AJ83,設置場所!$A:$B,2,FALSE))</f>
        <v>900000030</v>
      </c>
      <c r="AJ83" s="101" t="s">
        <v>2191</v>
      </c>
      <c r="AK83" s="101" t="s">
        <v>1331</v>
      </c>
      <c r="AL83" s="101" t="s">
        <v>1336</v>
      </c>
      <c r="AM83" s="101"/>
      <c r="AN83" s="101"/>
      <c r="AO83" s="101"/>
      <c r="AP83" s="101"/>
      <c r="AQ83" s="101"/>
      <c r="AR83" s="105"/>
      <c r="AS83" s="171"/>
    </row>
    <row r="84" spans="1:45">
      <c r="A84" s="131" t="s">
        <v>1224</v>
      </c>
      <c r="B84" s="156" t="s">
        <v>1337</v>
      </c>
      <c r="C84" s="156" t="s">
        <v>1321</v>
      </c>
      <c r="D84" s="156" t="s">
        <v>1431</v>
      </c>
      <c r="E84" s="156" t="s">
        <v>1628</v>
      </c>
      <c r="F84" s="156" t="s">
        <v>1757</v>
      </c>
      <c r="G84" s="157">
        <v>42216</v>
      </c>
      <c r="H84" s="158" t="s">
        <v>1918</v>
      </c>
      <c r="I84" s="158" t="s">
        <v>2020</v>
      </c>
      <c r="J84" s="156" t="s">
        <v>2144</v>
      </c>
      <c r="K84" s="156" t="s">
        <v>2159</v>
      </c>
      <c r="L84" s="156" t="s">
        <v>2168</v>
      </c>
      <c r="M84" s="156">
        <v>8</v>
      </c>
      <c r="N84" s="159">
        <v>9600000</v>
      </c>
      <c r="O84" s="160">
        <v>1</v>
      </c>
      <c r="P84" s="160">
        <v>1</v>
      </c>
      <c r="Q84" s="160">
        <v>0</v>
      </c>
      <c r="R84" s="159">
        <v>1</v>
      </c>
      <c r="S84" s="157"/>
      <c r="T84" s="157">
        <v>44286</v>
      </c>
      <c r="U84" s="161">
        <v>1643667</v>
      </c>
      <c r="V84" s="158" t="s">
        <v>852</v>
      </c>
      <c r="W84" s="158" t="s">
        <v>627</v>
      </c>
      <c r="X84" s="158"/>
      <c r="Y84" s="162" t="s">
        <v>2185</v>
      </c>
      <c r="Z84" s="163" t="s">
        <v>2191</v>
      </c>
      <c r="AA84" s="163">
        <v>1</v>
      </c>
      <c r="AB84" s="163">
        <v>1</v>
      </c>
      <c r="AC84" s="101">
        <v>1</v>
      </c>
      <c r="AD84" s="101">
        <v>1</v>
      </c>
      <c r="AE84" s="101" t="s">
        <v>2201</v>
      </c>
      <c r="AF84" s="102" t="str">
        <f>IF(ISERROR(VLOOKUP(AE84,小分類・セグメント!$A:$C,3,FALSE)),"",VLOOKUP(AE84,小分類・セグメント!$A:$C,3,FALSE))</f>
        <v>ECD</v>
      </c>
      <c r="AG84" s="103" t="str">
        <f>IF(ISERROR(VLOOKUP(AE84,小細分類・事業部マスタ!$E:$H,4,FALSE)),"",VLOOKUP(AE84,小細分類・事業部マスタ!$E:$H,4,FALSE))</f>
        <v>パワーデバイス事業部</v>
      </c>
      <c r="AH84" s="101" t="s">
        <v>2206</v>
      </c>
      <c r="AI84" s="104">
        <f>IF(ISERROR(VLOOKUP(AJ84,設置場所!$A:$B,2,FALSE)),"",VLOOKUP(AJ84,設置場所!$A:$B,2,FALSE))</f>
        <v>900000030</v>
      </c>
      <c r="AJ84" s="101" t="s">
        <v>2191</v>
      </c>
      <c r="AK84" s="101" t="s">
        <v>1331</v>
      </c>
      <c r="AL84" s="101" t="s">
        <v>1336</v>
      </c>
      <c r="AM84" s="101"/>
      <c r="AN84" s="101"/>
      <c r="AO84" s="101"/>
      <c r="AP84" s="101"/>
      <c r="AQ84" s="101"/>
      <c r="AR84" s="105"/>
      <c r="AS84" s="171"/>
    </row>
    <row r="85" spans="1:45">
      <c r="A85" s="131" t="s">
        <v>1224</v>
      </c>
      <c r="B85" s="156" t="s">
        <v>1337</v>
      </c>
      <c r="C85" s="156" t="s">
        <v>1321</v>
      </c>
      <c r="D85" s="156" t="s">
        <v>1432</v>
      </c>
      <c r="E85" s="156" t="s">
        <v>1628</v>
      </c>
      <c r="F85" s="156" t="s">
        <v>1758</v>
      </c>
      <c r="G85" s="157">
        <v>42195</v>
      </c>
      <c r="H85" s="158" t="s">
        <v>1918</v>
      </c>
      <c r="I85" s="158" t="s">
        <v>2021</v>
      </c>
      <c r="J85" s="156" t="s">
        <v>2144</v>
      </c>
      <c r="K85" s="156" t="s">
        <v>2159</v>
      </c>
      <c r="L85" s="156" t="s">
        <v>2168</v>
      </c>
      <c r="M85" s="156">
        <v>8</v>
      </c>
      <c r="N85" s="159">
        <v>850000</v>
      </c>
      <c r="O85" s="160">
        <v>1</v>
      </c>
      <c r="P85" s="160">
        <v>1</v>
      </c>
      <c r="Q85" s="160">
        <v>0</v>
      </c>
      <c r="R85" s="159">
        <v>1</v>
      </c>
      <c r="S85" s="157"/>
      <c r="T85" s="157">
        <v>44286</v>
      </c>
      <c r="U85" s="161">
        <v>160460</v>
      </c>
      <c r="V85" s="158" t="s">
        <v>852</v>
      </c>
      <c r="W85" s="158" t="s">
        <v>627</v>
      </c>
      <c r="X85" s="158"/>
      <c r="Y85" s="162" t="s">
        <v>2185</v>
      </c>
      <c r="Z85" s="163" t="s">
        <v>2191</v>
      </c>
      <c r="AA85" s="163">
        <v>1</v>
      </c>
      <c r="AB85" s="163">
        <v>1</v>
      </c>
      <c r="AC85" s="101">
        <v>1</v>
      </c>
      <c r="AD85" s="101">
        <v>1</v>
      </c>
      <c r="AE85" s="101" t="s">
        <v>2201</v>
      </c>
      <c r="AF85" s="102" t="str">
        <f>IF(ISERROR(VLOOKUP(AE85,小分類・セグメント!$A:$C,3,FALSE)),"",VLOOKUP(AE85,小分類・セグメント!$A:$C,3,FALSE))</f>
        <v>ECD</v>
      </c>
      <c r="AG85" s="103" t="str">
        <f>IF(ISERROR(VLOOKUP(AE85,小細分類・事業部マスタ!$E:$H,4,FALSE)),"",VLOOKUP(AE85,小細分類・事業部マスタ!$E:$H,4,FALSE))</f>
        <v>パワーデバイス事業部</v>
      </c>
      <c r="AH85" s="101" t="s">
        <v>2206</v>
      </c>
      <c r="AI85" s="104">
        <f>IF(ISERROR(VLOOKUP(AJ85,設置場所!$A:$B,2,FALSE)),"",VLOOKUP(AJ85,設置場所!$A:$B,2,FALSE))</f>
        <v>900000030</v>
      </c>
      <c r="AJ85" s="101" t="s">
        <v>2191</v>
      </c>
      <c r="AK85" s="101" t="s">
        <v>1331</v>
      </c>
      <c r="AL85" s="101" t="s">
        <v>1336</v>
      </c>
      <c r="AM85" s="101"/>
      <c r="AN85" s="101"/>
      <c r="AO85" s="101"/>
      <c r="AP85" s="101"/>
      <c r="AQ85" s="101"/>
      <c r="AR85" s="105"/>
      <c r="AS85" s="171"/>
    </row>
    <row r="86" spans="1:45">
      <c r="A86" s="131" t="s">
        <v>1224</v>
      </c>
      <c r="B86" s="156" t="s">
        <v>1337</v>
      </c>
      <c r="C86" s="156" t="s">
        <v>1321</v>
      </c>
      <c r="D86" s="156" t="s">
        <v>1433</v>
      </c>
      <c r="E86" s="156"/>
      <c r="F86" s="156" t="s">
        <v>1759</v>
      </c>
      <c r="G86" s="157">
        <v>43283</v>
      </c>
      <c r="H86" s="158" t="s">
        <v>1925</v>
      </c>
      <c r="I86" s="158" t="s">
        <v>2022</v>
      </c>
      <c r="J86" s="156" t="s">
        <v>2144</v>
      </c>
      <c r="K86" s="156" t="s">
        <v>2159</v>
      </c>
      <c r="L86" s="156" t="s">
        <v>2168</v>
      </c>
      <c r="M86" s="156">
        <v>8</v>
      </c>
      <c r="N86" s="159">
        <v>2897000</v>
      </c>
      <c r="O86" s="160">
        <v>1</v>
      </c>
      <c r="P86" s="160">
        <v>1</v>
      </c>
      <c r="Q86" s="160">
        <v>0</v>
      </c>
      <c r="R86" s="159">
        <v>1</v>
      </c>
      <c r="S86" s="157"/>
      <c r="T86" s="157">
        <v>44286</v>
      </c>
      <c r="U86" s="161">
        <v>1324019</v>
      </c>
      <c r="V86" s="158" t="s">
        <v>852</v>
      </c>
      <c r="W86" s="158" t="s">
        <v>627</v>
      </c>
      <c r="X86" s="158" t="s">
        <v>2176</v>
      </c>
      <c r="Y86" s="162" t="s">
        <v>2185</v>
      </c>
      <c r="Z86" s="163" t="s">
        <v>2191</v>
      </c>
      <c r="AA86" s="163">
        <v>1</v>
      </c>
      <c r="AB86" s="163">
        <v>1</v>
      </c>
      <c r="AC86" s="101">
        <v>1</v>
      </c>
      <c r="AD86" s="101">
        <v>1</v>
      </c>
      <c r="AE86" s="101" t="s">
        <v>2201</v>
      </c>
      <c r="AF86" s="102" t="str">
        <f>IF(ISERROR(VLOOKUP(AE86,小分類・セグメント!$A:$C,3,FALSE)),"",VLOOKUP(AE86,小分類・セグメント!$A:$C,3,FALSE))</f>
        <v>ECD</v>
      </c>
      <c r="AG86" s="103" t="str">
        <f>IF(ISERROR(VLOOKUP(AE86,小細分類・事業部マスタ!$E:$H,4,FALSE)),"",VLOOKUP(AE86,小細分類・事業部マスタ!$E:$H,4,FALSE))</f>
        <v>パワーデバイス事業部</v>
      </c>
      <c r="AH86" s="101" t="s">
        <v>2176</v>
      </c>
      <c r="AI86" s="104">
        <f>IF(ISERROR(VLOOKUP(AJ86,設置場所!$A:$B,2,FALSE)),"",VLOOKUP(AJ86,設置場所!$A:$B,2,FALSE))</f>
        <v>900000030</v>
      </c>
      <c r="AJ86" s="101" t="s">
        <v>2191</v>
      </c>
      <c r="AK86" s="101" t="s">
        <v>1331</v>
      </c>
      <c r="AL86" s="101" t="s">
        <v>1336</v>
      </c>
      <c r="AM86" s="101"/>
      <c r="AN86" s="101"/>
      <c r="AO86" s="101"/>
      <c r="AP86" s="101"/>
      <c r="AQ86" s="101"/>
      <c r="AR86" s="105"/>
      <c r="AS86" s="171"/>
    </row>
    <row r="87" spans="1:45">
      <c r="A87" s="131" t="s">
        <v>1224</v>
      </c>
      <c r="B87" s="156" t="s">
        <v>1337</v>
      </c>
      <c r="C87" s="156" t="s">
        <v>1321</v>
      </c>
      <c r="D87" s="156" t="s">
        <v>1434</v>
      </c>
      <c r="E87" s="156" t="s">
        <v>1629</v>
      </c>
      <c r="F87" s="156" t="s">
        <v>1760</v>
      </c>
      <c r="G87" s="157">
        <v>42237</v>
      </c>
      <c r="H87" s="158" t="s">
        <v>1918</v>
      </c>
      <c r="I87" s="158" t="s">
        <v>2023</v>
      </c>
      <c r="J87" s="156" t="s">
        <v>2145</v>
      </c>
      <c r="K87" s="156" t="s">
        <v>2160</v>
      </c>
      <c r="L87" s="156" t="s">
        <v>2168</v>
      </c>
      <c r="M87" s="156">
        <v>8</v>
      </c>
      <c r="N87" s="159">
        <v>47550000</v>
      </c>
      <c r="O87" s="160">
        <v>1</v>
      </c>
      <c r="P87" s="160">
        <v>1</v>
      </c>
      <c r="Q87" s="160">
        <v>0</v>
      </c>
      <c r="R87" s="159">
        <v>1</v>
      </c>
      <c r="S87" s="157"/>
      <c r="T87" s="157">
        <v>44286</v>
      </c>
      <c r="U87" s="161">
        <v>8558791</v>
      </c>
      <c r="V87" s="158" t="s">
        <v>852</v>
      </c>
      <c r="W87" s="158" t="s">
        <v>627</v>
      </c>
      <c r="X87" s="158"/>
      <c r="Y87" s="162" t="s">
        <v>2185</v>
      </c>
      <c r="Z87" s="163" t="s">
        <v>2191</v>
      </c>
      <c r="AA87" s="163">
        <v>1</v>
      </c>
      <c r="AB87" s="163">
        <v>1</v>
      </c>
      <c r="AC87" s="101">
        <v>1</v>
      </c>
      <c r="AD87" s="101">
        <v>1</v>
      </c>
      <c r="AE87" s="101" t="s">
        <v>2201</v>
      </c>
      <c r="AF87" s="102" t="str">
        <f>IF(ISERROR(VLOOKUP(AE87,小分類・セグメント!$A:$C,3,FALSE)),"",VLOOKUP(AE87,小分類・セグメント!$A:$C,3,FALSE))</f>
        <v>ECD</v>
      </c>
      <c r="AG87" s="103" t="str">
        <f>IF(ISERROR(VLOOKUP(AE87,小細分類・事業部マスタ!$E:$H,4,FALSE)),"",VLOOKUP(AE87,小細分類・事業部マスタ!$E:$H,4,FALSE))</f>
        <v>パワーデバイス事業部</v>
      </c>
      <c r="AH87" s="101" t="s">
        <v>2206</v>
      </c>
      <c r="AI87" s="104">
        <f>IF(ISERROR(VLOOKUP(AJ87,設置場所!$A:$B,2,FALSE)),"",VLOOKUP(AJ87,設置場所!$A:$B,2,FALSE))</f>
        <v>900000030</v>
      </c>
      <c r="AJ87" s="101" t="s">
        <v>2191</v>
      </c>
      <c r="AK87" s="101" t="s">
        <v>1331</v>
      </c>
      <c r="AL87" s="101" t="s">
        <v>1336</v>
      </c>
      <c r="AM87" s="101"/>
      <c r="AN87" s="101"/>
      <c r="AO87" s="101"/>
      <c r="AP87" s="101"/>
      <c r="AQ87" s="101"/>
      <c r="AR87" s="105"/>
      <c r="AS87" s="171"/>
    </row>
    <row r="88" spans="1:45">
      <c r="A88" s="131" t="s">
        <v>1224</v>
      </c>
      <c r="B88" s="156" t="s">
        <v>1337</v>
      </c>
      <c r="C88" s="156" t="s">
        <v>1321</v>
      </c>
      <c r="D88" s="156" t="s">
        <v>1435</v>
      </c>
      <c r="E88" s="156" t="s">
        <v>1629</v>
      </c>
      <c r="F88" s="156" t="s">
        <v>1761</v>
      </c>
      <c r="G88" s="157">
        <v>42324</v>
      </c>
      <c r="H88" s="158" t="s">
        <v>1918</v>
      </c>
      <c r="I88" s="158" t="s">
        <v>2024</v>
      </c>
      <c r="J88" s="156" t="s">
        <v>2145</v>
      </c>
      <c r="K88" s="156" t="s">
        <v>2160</v>
      </c>
      <c r="L88" s="156" t="s">
        <v>2168</v>
      </c>
      <c r="M88" s="156">
        <v>8</v>
      </c>
      <c r="N88" s="159">
        <v>200000</v>
      </c>
      <c r="O88" s="160">
        <v>1</v>
      </c>
      <c r="P88" s="160">
        <v>1</v>
      </c>
      <c r="Q88" s="160">
        <v>0</v>
      </c>
      <c r="R88" s="159">
        <v>1</v>
      </c>
      <c r="S88" s="157"/>
      <c r="T88" s="157">
        <v>44286</v>
      </c>
      <c r="U88" s="161">
        <v>37756</v>
      </c>
      <c r="V88" s="158" t="s">
        <v>852</v>
      </c>
      <c r="W88" s="158" t="s">
        <v>627</v>
      </c>
      <c r="X88" s="158"/>
      <c r="Y88" s="162" t="s">
        <v>2185</v>
      </c>
      <c r="Z88" s="163" t="s">
        <v>2191</v>
      </c>
      <c r="AA88" s="163">
        <v>1</v>
      </c>
      <c r="AB88" s="163">
        <v>1</v>
      </c>
      <c r="AC88" s="101">
        <v>1</v>
      </c>
      <c r="AD88" s="101">
        <v>1</v>
      </c>
      <c r="AE88" s="101" t="s">
        <v>2201</v>
      </c>
      <c r="AF88" s="102" t="str">
        <f>IF(ISERROR(VLOOKUP(AE88,小分類・セグメント!$A:$C,3,FALSE)),"",VLOOKUP(AE88,小分類・セグメント!$A:$C,3,FALSE))</f>
        <v>ECD</v>
      </c>
      <c r="AG88" s="103" t="str">
        <f>IF(ISERROR(VLOOKUP(AE88,小細分類・事業部マスタ!$E:$H,4,FALSE)),"",VLOOKUP(AE88,小細分類・事業部マスタ!$E:$H,4,FALSE))</f>
        <v>パワーデバイス事業部</v>
      </c>
      <c r="AH88" s="101" t="s">
        <v>2206</v>
      </c>
      <c r="AI88" s="104">
        <f>IF(ISERROR(VLOOKUP(AJ88,設置場所!$A:$B,2,FALSE)),"",VLOOKUP(AJ88,設置場所!$A:$B,2,FALSE))</f>
        <v>900000030</v>
      </c>
      <c r="AJ88" s="101" t="s">
        <v>2191</v>
      </c>
      <c r="AK88" s="101" t="s">
        <v>1331</v>
      </c>
      <c r="AL88" s="101" t="s">
        <v>1336</v>
      </c>
      <c r="AM88" s="101"/>
      <c r="AN88" s="101"/>
      <c r="AO88" s="101"/>
      <c r="AP88" s="101"/>
      <c r="AQ88" s="101"/>
      <c r="AR88" s="105"/>
      <c r="AS88" s="171"/>
    </row>
    <row r="89" spans="1:45">
      <c r="A89" s="131" t="s">
        <v>1224</v>
      </c>
      <c r="B89" s="156" t="s">
        <v>1337</v>
      </c>
      <c r="C89" s="156" t="s">
        <v>1321</v>
      </c>
      <c r="D89" s="156" t="s">
        <v>1436</v>
      </c>
      <c r="E89" s="156"/>
      <c r="F89" s="156" t="s">
        <v>1762</v>
      </c>
      <c r="G89" s="157">
        <v>43437</v>
      </c>
      <c r="H89" s="158" t="s">
        <v>1925</v>
      </c>
      <c r="I89" s="158" t="s">
        <v>2025</v>
      </c>
      <c r="J89" s="156" t="s">
        <v>2145</v>
      </c>
      <c r="K89" s="156" t="s">
        <v>2160</v>
      </c>
      <c r="L89" s="156" t="s">
        <v>2168</v>
      </c>
      <c r="M89" s="156">
        <v>8</v>
      </c>
      <c r="N89" s="159">
        <v>680620</v>
      </c>
      <c r="O89" s="160">
        <v>1</v>
      </c>
      <c r="P89" s="160">
        <v>1</v>
      </c>
      <c r="Q89" s="160">
        <v>0</v>
      </c>
      <c r="R89" s="159">
        <v>1</v>
      </c>
      <c r="S89" s="157"/>
      <c r="T89" s="157">
        <v>44286</v>
      </c>
      <c r="U89" s="161">
        <v>350945</v>
      </c>
      <c r="V89" s="158" t="s">
        <v>852</v>
      </c>
      <c r="W89" s="158" t="s">
        <v>627</v>
      </c>
      <c r="X89" s="158" t="s">
        <v>2169</v>
      </c>
      <c r="Y89" s="162" t="s">
        <v>2185</v>
      </c>
      <c r="Z89" s="163" t="s">
        <v>2191</v>
      </c>
      <c r="AA89" s="163">
        <v>1</v>
      </c>
      <c r="AB89" s="163">
        <v>1</v>
      </c>
      <c r="AC89" s="101">
        <v>1</v>
      </c>
      <c r="AD89" s="101">
        <v>1</v>
      </c>
      <c r="AE89" s="101" t="s">
        <v>2201</v>
      </c>
      <c r="AF89" s="102" t="str">
        <f>IF(ISERROR(VLOOKUP(AE89,小分類・セグメント!$A:$C,3,FALSE)),"",VLOOKUP(AE89,小分類・セグメント!$A:$C,3,FALSE))</f>
        <v>ECD</v>
      </c>
      <c r="AG89" s="103" t="str">
        <f>IF(ISERROR(VLOOKUP(AE89,小細分類・事業部マスタ!$E:$H,4,FALSE)),"",VLOOKUP(AE89,小細分類・事業部マスタ!$E:$H,4,FALSE))</f>
        <v>パワーデバイス事業部</v>
      </c>
      <c r="AH89" s="101" t="s">
        <v>2169</v>
      </c>
      <c r="AI89" s="104">
        <f>IF(ISERROR(VLOOKUP(AJ89,設置場所!$A:$B,2,FALSE)),"",VLOOKUP(AJ89,設置場所!$A:$B,2,FALSE))</f>
        <v>900000030</v>
      </c>
      <c r="AJ89" s="101" t="s">
        <v>2191</v>
      </c>
      <c r="AK89" s="101" t="s">
        <v>1331</v>
      </c>
      <c r="AL89" s="101" t="s">
        <v>1336</v>
      </c>
      <c r="AM89" s="101"/>
      <c r="AN89" s="101"/>
      <c r="AO89" s="101"/>
      <c r="AP89" s="101"/>
      <c r="AQ89" s="101"/>
      <c r="AR89" s="105"/>
      <c r="AS89" s="171"/>
    </row>
    <row r="90" spans="1:45">
      <c r="A90" s="131" t="s">
        <v>1224</v>
      </c>
      <c r="B90" s="156" t="s">
        <v>1337</v>
      </c>
      <c r="C90" s="156" t="s">
        <v>1321</v>
      </c>
      <c r="D90" s="156" t="s">
        <v>1437</v>
      </c>
      <c r="E90" s="156" t="s">
        <v>1630</v>
      </c>
      <c r="F90" s="156" t="s">
        <v>1763</v>
      </c>
      <c r="G90" s="157">
        <v>42237</v>
      </c>
      <c r="H90" s="158" t="s">
        <v>1918</v>
      </c>
      <c r="I90" s="158" t="s">
        <v>2026</v>
      </c>
      <c r="J90" s="156" t="s">
        <v>2145</v>
      </c>
      <c r="K90" s="156" t="s">
        <v>2160</v>
      </c>
      <c r="L90" s="156" t="s">
        <v>2168</v>
      </c>
      <c r="M90" s="156">
        <v>8</v>
      </c>
      <c r="N90" s="159">
        <v>950000</v>
      </c>
      <c r="O90" s="160">
        <v>1</v>
      </c>
      <c r="P90" s="160">
        <v>1</v>
      </c>
      <c r="Q90" s="160">
        <v>0</v>
      </c>
      <c r="R90" s="159">
        <v>1</v>
      </c>
      <c r="S90" s="157"/>
      <c r="T90" s="157">
        <v>44286</v>
      </c>
      <c r="U90" s="161">
        <v>170996</v>
      </c>
      <c r="V90" s="158" t="s">
        <v>852</v>
      </c>
      <c r="W90" s="158" t="s">
        <v>627</v>
      </c>
      <c r="X90" s="158"/>
      <c r="Y90" s="162" t="s">
        <v>2185</v>
      </c>
      <c r="Z90" s="163" t="s">
        <v>2191</v>
      </c>
      <c r="AA90" s="163">
        <v>1</v>
      </c>
      <c r="AB90" s="163">
        <v>1</v>
      </c>
      <c r="AC90" s="101">
        <v>1</v>
      </c>
      <c r="AD90" s="101">
        <v>1</v>
      </c>
      <c r="AE90" s="101" t="s">
        <v>2201</v>
      </c>
      <c r="AF90" s="102" t="str">
        <f>IF(ISERROR(VLOOKUP(AE90,小分類・セグメント!$A:$C,3,FALSE)),"",VLOOKUP(AE90,小分類・セグメント!$A:$C,3,FALSE))</f>
        <v>ECD</v>
      </c>
      <c r="AG90" s="103" t="str">
        <f>IF(ISERROR(VLOOKUP(AE90,小細分類・事業部マスタ!$E:$H,4,FALSE)),"",VLOOKUP(AE90,小細分類・事業部マスタ!$E:$H,4,FALSE))</f>
        <v>パワーデバイス事業部</v>
      </c>
      <c r="AH90" s="101" t="s">
        <v>2206</v>
      </c>
      <c r="AI90" s="104">
        <f>IF(ISERROR(VLOOKUP(AJ90,設置場所!$A:$B,2,FALSE)),"",VLOOKUP(AJ90,設置場所!$A:$B,2,FALSE))</f>
        <v>900000030</v>
      </c>
      <c r="AJ90" s="101" t="s">
        <v>2191</v>
      </c>
      <c r="AK90" s="101" t="s">
        <v>1331</v>
      </c>
      <c r="AL90" s="101" t="s">
        <v>1336</v>
      </c>
      <c r="AM90" s="101"/>
      <c r="AN90" s="101"/>
      <c r="AO90" s="101"/>
      <c r="AP90" s="101"/>
      <c r="AQ90" s="101"/>
      <c r="AR90" s="105"/>
      <c r="AS90" s="171"/>
    </row>
    <row r="91" spans="1:45">
      <c r="A91" s="131" t="s">
        <v>1224</v>
      </c>
      <c r="B91" s="156" t="s">
        <v>1337</v>
      </c>
      <c r="C91" s="156" t="s">
        <v>1321</v>
      </c>
      <c r="D91" s="156" t="s">
        <v>1438</v>
      </c>
      <c r="E91" s="156" t="s">
        <v>1631</v>
      </c>
      <c r="F91" s="156" t="s">
        <v>1764</v>
      </c>
      <c r="G91" s="157">
        <v>42307</v>
      </c>
      <c r="H91" s="158" t="s">
        <v>1926</v>
      </c>
      <c r="I91" s="158" t="s">
        <v>2027</v>
      </c>
      <c r="J91" s="156" t="s">
        <v>2139</v>
      </c>
      <c r="K91" s="156" t="s">
        <v>2154</v>
      </c>
      <c r="L91" s="156" t="s">
        <v>2168</v>
      </c>
      <c r="M91" s="156">
        <v>8</v>
      </c>
      <c r="N91" s="159">
        <v>4042600</v>
      </c>
      <c r="O91" s="160">
        <v>1</v>
      </c>
      <c r="P91" s="160">
        <v>1</v>
      </c>
      <c r="Q91" s="160">
        <v>0</v>
      </c>
      <c r="R91" s="159">
        <v>1</v>
      </c>
      <c r="S91" s="157"/>
      <c r="T91" s="157">
        <v>44286</v>
      </c>
      <c r="U91" s="161">
        <v>745398</v>
      </c>
      <c r="V91" s="158" t="s">
        <v>852</v>
      </c>
      <c r="W91" s="158" t="s">
        <v>627</v>
      </c>
      <c r="X91" s="158" t="s">
        <v>2172</v>
      </c>
      <c r="Y91" s="162" t="s">
        <v>2185</v>
      </c>
      <c r="Z91" s="163" t="s">
        <v>2191</v>
      </c>
      <c r="AA91" s="163">
        <v>1</v>
      </c>
      <c r="AB91" s="163">
        <v>1</v>
      </c>
      <c r="AC91" s="101">
        <v>1</v>
      </c>
      <c r="AD91" s="101">
        <v>1</v>
      </c>
      <c r="AE91" s="101" t="s">
        <v>2201</v>
      </c>
      <c r="AF91" s="102" t="str">
        <f>IF(ISERROR(VLOOKUP(AE91,小分類・セグメント!$A:$C,3,FALSE)),"",VLOOKUP(AE91,小分類・セグメント!$A:$C,3,FALSE))</f>
        <v>ECD</v>
      </c>
      <c r="AG91" s="103" t="str">
        <f>IF(ISERROR(VLOOKUP(AE91,小細分類・事業部マスタ!$E:$H,4,FALSE)),"",VLOOKUP(AE91,小細分類・事業部マスタ!$E:$H,4,FALSE))</f>
        <v>パワーデバイス事業部</v>
      </c>
      <c r="AH91" s="101" t="s">
        <v>2172</v>
      </c>
      <c r="AI91" s="104">
        <f>IF(ISERROR(VLOOKUP(AJ91,設置場所!$A:$B,2,FALSE)),"",VLOOKUP(AJ91,設置場所!$A:$B,2,FALSE))</f>
        <v>900000030</v>
      </c>
      <c r="AJ91" s="101" t="s">
        <v>2191</v>
      </c>
      <c r="AK91" s="101" t="s">
        <v>1331</v>
      </c>
      <c r="AL91" s="101" t="s">
        <v>1336</v>
      </c>
      <c r="AM91" s="101"/>
      <c r="AN91" s="101"/>
      <c r="AO91" s="101"/>
      <c r="AP91" s="101"/>
      <c r="AQ91" s="101"/>
      <c r="AR91" s="105"/>
      <c r="AS91" s="171"/>
    </row>
    <row r="92" spans="1:45">
      <c r="A92" s="131" t="s">
        <v>1224</v>
      </c>
      <c r="B92" s="156" t="s">
        <v>1337</v>
      </c>
      <c r="C92" s="156" t="s">
        <v>1321</v>
      </c>
      <c r="D92" s="156" t="s">
        <v>1439</v>
      </c>
      <c r="E92" s="156" t="s">
        <v>1632</v>
      </c>
      <c r="F92" s="156" t="s">
        <v>1765</v>
      </c>
      <c r="G92" s="157">
        <v>42349</v>
      </c>
      <c r="H92" s="158" t="s">
        <v>1918</v>
      </c>
      <c r="I92" s="158" t="s">
        <v>2028</v>
      </c>
      <c r="J92" s="156" t="s">
        <v>2139</v>
      </c>
      <c r="K92" s="156" t="s">
        <v>2154</v>
      </c>
      <c r="L92" s="156" t="s">
        <v>2168</v>
      </c>
      <c r="M92" s="156">
        <v>8</v>
      </c>
      <c r="N92" s="159">
        <v>865000</v>
      </c>
      <c r="O92" s="160">
        <v>1</v>
      </c>
      <c r="P92" s="160">
        <v>1</v>
      </c>
      <c r="Q92" s="160">
        <v>0</v>
      </c>
      <c r="R92" s="159">
        <v>1</v>
      </c>
      <c r="S92" s="157"/>
      <c r="T92" s="157">
        <v>44286</v>
      </c>
      <c r="U92" s="161">
        <v>167088</v>
      </c>
      <c r="V92" s="158" t="s">
        <v>852</v>
      </c>
      <c r="W92" s="158" t="s">
        <v>627</v>
      </c>
      <c r="X92" s="158"/>
      <c r="Y92" s="162" t="s">
        <v>2185</v>
      </c>
      <c r="Z92" s="163" t="s">
        <v>2191</v>
      </c>
      <c r="AA92" s="163">
        <v>1</v>
      </c>
      <c r="AB92" s="163">
        <v>1</v>
      </c>
      <c r="AC92" s="101">
        <v>1</v>
      </c>
      <c r="AD92" s="101">
        <v>1</v>
      </c>
      <c r="AE92" s="101" t="s">
        <v>2201</v>
      </c>
      <c r="AF92" s="102" t="str">
        <f>IF(ISERROR(VLOOKUP(AE92,小分類・セグメント!$A:$C,3,FALSE)),"",VLOOKUP(AE92,小分類・セグメント!$A:$C,3,FALSE))</f>
        <v>ECD</v>
      </c>
      <c r="AG92" s="103" t="str">
        <f>IF(ISERROR(VLOOKUP(AE92,小細分類・事業部マスタ!$E:$H,4,FALSE)),"",VLOOKUP(AE92,小細分類・事業部マスタ!$E:$H,4,FALSE))</f>
        <v>パワーデバイス事業部</v>
      </c>
      <c r="AH92" s="101" t="s">
        <v>2204</v>
      </c>
      <c r="AI92" s="104">
        <f>IF(ISERROR(VLOOKUP(AJ92,設置場所!$A:$B,2,FALSE)),"",VLOOKUP(AJ92,設置場所!$A:$B,2,FALSE))</f>
        <v>900000030</v>
      </c>
      <c r="AJ92" s="101" t="s">
        <v>2191</v>
      </c>
      <c r="AK92" s="101" t="s">
        <v>1331</v>
      </c>
      <c r="AL92" s="101" t="s">
        <v>1336</v>
      </c>
      <c r="AM92" s="101"/>
      <c r="AN92" s="101"/>
      <c r="AO92" s="101"/>
      <c r="AP92" s="101"/>
      <c r="AQ92" s="101"/>
      <c r="AR92" s="105"/>
      <c r="AS92" s="171"/>
    </row>
    <row r="93" spans="1:45">
      <c r="A93" s="131" t="s">
        <v>1224</v>
      </c>
      <c r="B93" s="156" t="s">
        <v>1337</v>
      </c>
      <c r="C93" s="156" t="s">
        <v>1321</v>
      </c>
      <c r="D93" s="156" t="s">
        <v>1440</v>
      </c>
      <c r="E93" s="156" t="s">
        <v>1633</v>
      </c>
      <c r="F93" s="156" t="s">
        <v>1766</v>
      </c>
      <c r="G93" s="157">
        <v>42430</v>
      </c>
      <c r="H93" s="158" t="s">
        <v>1918</v>
      </c>
      <c r="I93" s="158" t="s">
        <v>2029</v>
      </c>
      <c r="J93" s="156" t="s">
        <v>2146</v>
      </c>
      <c r="K93" s="156" t="s">
        <v>2161</v>
      </c>
      <c r="L93" s="156" t="s">
        <v>2168</v>
      </c>
      <c r="M93" s="156">
        <v>8</v>
      </c>
      <c r="N93" s="159">
        <v>4820000</v>
      </c>
      <c r="O93" s="160">
        <v>1</v>
      </c>
      <c r="P93" s="160">
        <v>1</v>
      </c>
      <c r="Q93" s="160">
        <v>0</v>
      </c>
      <c r="R93" s="159">
        <v>1</v>
      </c>
      <c r="S93" s="157"/>
      <c r="T93" s="157">
        <v>44286</v>
      </c>
      <c r="U93" s="161">
        <v>994542</v>
      </c>
      <c r="V93" s="158" t="s">
        <v>852</v>
      </c>
      <c r="W93" s="158" t="s">
        <v>627</v>
      </c>
      <c r="X93" s="158"/>
      <c r="Y93" s="162" t="s">
        <v>2185</v>
      </c>
      <c r="Z93" s="163" t="s">
        <v>2191</v>
      </c>
      <c r="AA93" s="163">
        <v>1</v>
      </c>
      <c r="AB93" s="163">
        <v>1</v>
      </c>
      <c r="AC93" s="101">
        <v>1</v>
      </c>
      <c r="AD93" s="101">
        <v>1</v>
      </c>
      <c r="AE93" s="101" t="s">
        <v>2201</v>
      </c>
      <c r="AF93" s="102" t="str">
        <f>IF(ISERROR(VLOOKUP(AE93,小分類・セグメント!$A:$C,3,FALSE)),"",VLOOKUP(AE93,小分類・セグメント!$A:$C,3,FALSE))</f>
        <v>ECD</v>
      </c>
      <c r="AG93" s="103" t="str">
        <f>IF(ISERROR(VLOOKUP(AE93,小細分類・事業部マスタ!$E:$H,4,FALSE)),"",VLOOKUP(AE93,小細分類・事業部マスタ!$E:$H,4,FALSE))</f>
        <v>パワーデバイス事業部</v>
      </c>
      <c r="AH93" s="101" t="s">
        <v>2206</v>
      </c>
      <c r="AI93" s="104">
        <f>IF(ISERROR(VLOOKUP(AJ93,設置場所!$A:$B,2,FALSE)),"",VLOOKUP(AJ93,設置場所!$A:$B,2,FALSE))</f>
        <v>900000030</v>
      </c>
      <c r="AJ93" s="101" t="s">
        <v>2191</v>
      </c>
      <c r="AK93" s="101" t="s">
        <v>1331</v>
      </c>
      <c r="AL93" s="101" t="s">
        <v>1336</v>
      </c>
      <c r="AM93" s="101"/>
      <c r="AN93" s="101"/>
      <c r="AO93" s="101"/>
      <c r="AP93" s="101"/>
      <c r="AQ93" s="101"/>
      <c r="AR93" s="105"/>
      <c r="AS93" s="171"/>
    </row>
    <row r="94" spans="1:45">
      <c r="A94" s="131" t="s">
        <v>1224</v>
      </c>
      <c r="B94" s="156" t="s">
        <v>1337</v>
      </c>
      <c r="C94" s="156" t="s">
        <v>1321</v>
      </c>
      <c r="D94" s="156" t="s">
        <v>1441</v>
      </c>
      <c r="E94" s="156"/>
      <c r="F94" s="156" t="s">
        <v>1767</v>
      </c>
      <c r="G94" s="157">
        <v>42461</v>
      </c>
      <c r="H94" s="158" t="s">
        <v>1918</v>
      </c>
      <c r="I94" s="158" t="s">
        <v>2030</v>
      </c>
      <c r="J94" s="156" t="s">
        <v>2135</v>
      </c>
      <c r="K94" s="156" t="s">
        <v>2150</v>
      </c>
      <c r="L94" s="156" t="s">
        <v>2168</v>
      </c>
      <c r="M94" s="156">
        <v>8</v>
      </c>
      <c r="N94" s="159">
        <v>8300000</v>
      </c>
      <c r="O94" s="160">
        <v>1</v>
      </c>
      <c r="P94" s="160">
        <v>1</v>
      </c>
      <c r="Q94" s="160">
        <v>0</v>
      </c>
      <c r="R94" s="159">
        <v>1</v>
      </c>
      <c r="S94" s="157"/>
      <c r="T94" s="157">
        <v>44286</v>
      </c>
      <c r="U94" s="161">
        <v>1969629</v>
      </c>
      <c r="V94" s="158" t="s">
        <v>852</v>
      </c>
      <c r="W94" s="158" t="s">
        <v>627</v>
      </c>
      <c r="X94" s="158"/>
      <c r="Y94" s="162" t="s">
        <v>2185</v>
      </c>
      <c r="Z94" s="163" t="s">
        <v>2191</v>
      </c>
      <c r="AA94" s="163">
        <v>1</v>
      </c>
      <c r="AB94" s="163">
        <v>1</v>
      </c>
      <c r="AC94" s="101">
        <v>1</v>
      </c>
      <c r="AD94" s="101">
        <v>1</v>
      </c>
      <c r="AE94" s="101" t="s">
        <v>2201</v>
      </c>
      <c r="AF94" s="102" t="str">
        <f>IF(ISERROR(VLOOKUP(AE94,小分類・セグメント!$A:$C,3,FALSE)),"",VLOOKUP(AE94,小分類・セグメント!$A:$C,3,FALSE))</f>
        <v>ECD</v>
      </c>
      <c r="AG94" s="103" t="str">
        <f>IF(ISERROR(VLOOKUP(AE94,小細分類・事業部マスタ!$E:$H,4,FALSE)),"",VLOOKUP(AE94,小細分類・事業部マスタ!$E:$H,4,FALSE))</f>
        <v>パワーデバイス事業部</v>
      </c>
      <c r="AH94" s="101" t="s">
        <v>2169</v>
      </c>
      <c r="AI94" s="104">
        <f>IF(ISERROR(VLOOKUP(AJ94,設置場所!$A:$B,2,FALSE)),"",VLOOKUP(AJ94,設置場所!$A:$B,2,FALSE))</f>
        <v>900000030</v>
      </c>
      <c r="AJ94" s="101" t="s">
        <v>2191</v>
      </c>
      <c r="AK94" s="101" t="s">
        <v>1331</v>
      </c>
      <c r="AL94" s="101" t="s">
        <v>1336</v>
      </c>
      <c r="AM94" s="101"/>
      <c r="AN94" s="101"/>
      <c r="AO94" s="101"/>
      <c r="AP94" s="101"/>
      <c r="AQ94" s="101"/>
      <c r="AR94" s="105"/>
      <c r="AS94" s="171"/>
    </row>
    <row r="95" spans="1:45">
      <c r="A95" s="131" t="s">
        <v>1224</v>
      </c>
      <c r="B95" s="156" t="s">
        <v>1337</v>
      </c>
      <c r="C95" s="156" t="s">
        <v>1321</v>
      </c>
      <c r="D95" s="156" t="s">
        <v>1442</v>
      </c>
      <c r="E95" s="156"/>
      <c r="F95" s="156" t="s">
        <v>1768</v>
      </c>
      <c r="G95" s="157">
        <v>42461</v>
      </c>
      <c r="H95" s="158" t="s">
        <v>1922</v>
      </c>
      <c r="I95" s="158" t="s">
        <v>2031</v>
      </c>
      <c r="J95" s="156" t="s">
        <v>2145</v>
      </c>
      <c r="K95" s="156" t="s">
        <v>2160</v>
      </c>
      <c r="L95" s="156" t="s">
        <v>2168</v>
      </c>
      <c r="M95" s="156">
        <v>8</v>
      </c>
      <c r="N95" s="159">
        <v>2038000</v>
      </c>
      <c r="O95" s="160">
        <v>1</v>
      </c>
      <c r="P95" s="160">
        <v>1</v>
      </c>
      <c r="Q95" s="160">
        <v>0</v>
      </c>
      <c r="R95" s="159">
        <v>1</v>
      </c>
      <c r="S95" s="157"/>
      <c r="T95" s="157">
        <v>44286</v>
      </c>
      <c r="U95" s="161">
        <v>483627</v>
      </c>
      <c r="V95" s="158" t="s">
        <v>852</v>
      </c>
      <c r="W95" s="158" t="s">
        <v>627</v>
      </c>
      <c r="X95" s="158"/>
      <c r="Y95" s="162" t="s">
        <v>2185</v>
      </c>
      <c r="Z95" s="163" t="s">
        <v>2191</v>
      </c>
      <c r="AA95" s="163">
        <v>1</v>
      </c>
      <c r="AB95" s="163">
        <v>1</v>
      </c>
      <c r="AC95" s="101">
        <v>1</v>
      </c>
      <c r="AD95" s="101">
        <v>1</v>
      </c>
      <c r="AE95" s="101" t="s">
        <v>2201</v>
      </c>
      <c r="AF95" s="102" t="str">
        <f>IF(ISERROR(VLOOKUP(AE95,小分類・セグメント!$A:$C,3,FALSE)),"",VLOOKUP(AE95,小分類・セグメント!$A:$C,3,FALSE))</f>
        <v>ECD</v>
      </c>
      <c r="AG95" s="103" t="str">
        <f>IF(ISERROR(VLOOKUP(AE95,小細分類・事業部マスタ!$E:$H,4,FALSE)),"",VLOOKUP(AE95,小細分類・事業部マスタ!$E:$H,4,FALSE))</f>
        <v>パワーデバイス事業部</v>
      </c>
      <c r="AH95" s="101" t="s">
        <v>2169</v>
      </c>
      <c r="AI95" s="104">
        <f>IF(ISERROR(VLOOKUP(AJ95,設置場所!$A:$B,2,FALSE)),"",VLOOKUP(AJ95,設置場所!$A:$B,2,FALSE))</f>
        <v>900000030</v>
      </c>
      <c r="AJ95" s="101" t="s">
        <v>2191</v>
      </c>
      <c r="AK95" s="101" t="s">
        <v>1331</v>
      </c>
      <c r="AL95" s="101" t="s">
        <v>1336</v>
      </c>
      <c r="AM95" s="101"/>
      <c r="AN95" s="101"/>
      <c r="AO95" s="101"/>
      <c r="AP95" s="101"/>
      <c r="AQ95" s="101"/>
      <c r="AR95" s="105"/>
      <c r="AS95" s="171"/>
    </row>
    <row r="96" spans="1:45">
      <c r="A96" s="131" t="s">
        <v>1224</v>
      </c>
      <c r="B96" s="156" t="s">
        <v>1337</v>
      </c>
      <c r="C96" s="156" t="s">
        <v>1321</v>
      </c>
      <c r="D96" s="156" t="s">
        <v>1443</v>
      </c>
      <c r="E96" s="156"/>
      <c r="F96" s="156" t="s">
        <v>1769</v>
      </c>
      <c r="G96" s="157">
        <v>42478</v>
      </c>
      <c r="H96" s="158" t="s">
        <v>1922</v>
      </c>
      <c r="I96" s="158" t="s">
        <v>2032</v>
      </c>
      <c r="J96" s="156" t="s">
        <v>2135</v>
      </c>
      <c r="K96" s="156" t="s">
        <v>2150</v>
      </c>
      <c r="L96" s="156" t="s">
        <v>2168</v>
      </c>
      <c r="M96" s="156">
        <v>8</v>
      </c>
      <c r="N96" s="159">
        <v>2038000</v>
      </c>
      <c r="O96" s="160">
        <v>1</v>
      </c>
      <c r="P96" s="160">
        <v>1</v>
      </c>
      <c r="Q96" s="160">
        <v>0</v>
      </c>
      <c r="R96" s="159">
        <v>1</v>
      </c>
      <c r="S96" s="157"/>
      <c r="T96" s="157">
        <v>44286</v>
      </c>
      <c r="U96" s="161">
        <v>483627</v>
      </c>
      <c r="V96" s="158" t="s">
        <v>852</v>
      </c>
      <c r="W96" s="158" t="s">
        <v>627</v>
      </c>
      <c r="X96" s="158"/>
      <c r="Y96" s="162" t="s">
        <v>2185</v>
      </c>
      <c r="Z96" s="163" t="s">
        <v>2191</v>
      </c>
      <c r="AA96" s="163">
        <v>1</v>
      </c>
      <c r="AB96" s="163">
        <v>1</v>
      </c>
      <c r="AC96" s="101">
        <v>1</v>
      </c>
      <c r="AD96" s="101">
        <v>1</v>
      </c>
      <c r="AE96" s="101" t="s">
        <v>2201</v>
      </c>
      <c r="AF96" s="102" t="str">
        <f>IF(ISERROR(VLOOKUP(AE96,小分類・セグメント!$A:$C,3,FALSE)),"",VLOOKUP(AE96,小分類・セグメント!$A:$C,3,FALSE))</f>
        <v>ECD</v>
      </c>
      <c r="AG96" s="103" t="str">
        <f>IF(ISERROR(VLOOKUP(AE96,小細分類・事業部マスタ!$E:$H,4,FALSE)),"",VLOOKUP(AE96,小細分類・事業部マスタ!$E:$H,4,FALSE))</f>
        <v>パワーデバイス事業部</v>
      </c>
      <c r="AH96" s="101" t="s">
        <v>2169</v>
      </c>
      <c r="AI96" s="104">
        <f>IF(ISERROR(VLOOKUP(AJ96,設置場所!$A:$B,2,FALSE)),"",VLOOKUP(AJ96,設置場所!$A:$B,2,FALSE))</f>
        <v>900000030</v>
      </c>
      <c r="AJ96" s="101" t="s">
        <v>2191</v>
      </c>
      <c r="AK96" s="101" t="s">
        <v>1331</v>
      </c>
      <c r="AL96" s="101" t="s">
        <v>1336</v>
      </c>
      <c r="AM96" s="101"/>
      <c r="AN96" s="101"/>
      <c r="AO96" s="101"/>
      <c r="AP96" s="101"/>
      <c r="AQ96" s="101"/>
      <c r="AR96" s="105"/>
      <c r="AS96" s="171"/>
    </row>
    <row r="97" spans="1:45">
      <c r="A97" s="131" t="s">
        <v>1224</v>
      </c>
      <c r="B97" s="156" t="s">
        <v>1337</v>
      </c>
      <c r="C97" s="156" t="s">
        <v>1321</v>
      </c>
      <c r="D97" s="156" t="s">
        <v>1444</v>
      </c>
      <c r="E97" s="156"/>
      <c r="F97" s="156" t="s">
        <v>1770</v>
      </c>
      <c r="G97" s="157">
        <v>42580</v>
      </c>
      <c r="H97" s="158" t="s">
        <v>1918</v>
      </c>
      <c r="I97" s="158" t="s">
        <v>2033</v>
      </c>
      <c r="J97" s="156" t="s">
        <v>2139</v>
      </c>
      <c r="K97" s="156" t="s">
        <v>2154</v>
      </c>
      <c r="L97" s="156" t="s">
        <v>2168</v>
      </c>
      <c r="M97" s="156">
        <v>8</v>
      </c>
      <c r="N97" s="159">
        <v>2280360</v>
      </c>
      <c r="O97" s="160">
        <v>1</v>
      </c>
      <c r="P97" s="160">
        <v>1</v>
      </c>
      <c r="Q97" s="160">
        <v>0</v>
      </c>
      <c r="R97" s="159">
        <v>1</v>
      </c>
      <c r="S97" s="157"/>
      <c r="T97" s="157">
        <v>44286</v>
      </c>
      <c r="U97" s="161">
        <v>586235</v>
      </c>
      <c r="V97" s="158" t="s">
        <v>852</v>
      </c>
      <c r="W97" s="158" t="s">
        <v>627</v>
      </c>
      <c r="X97" s="158"/>
      <c r="Y97" s="162" t="s">
        <v>2185</v>
      </c>
      <c r="Z97" s="163" t="s">
        <v>2191</v>
      </c>
      <c r="AA97" s="163">
        <v>1</v>
      </c>
      <c r="AB97" s="163">
        <v>1</v>
      </c>
      <c r="AC97" s="101">
        <v>1</v>
      </c>
      <c r="AD97" s="101">
        <v>1</v>
      </c>
      <c r="AE97" s="101" t="s">
        <v>2201</v>
      </c>
      <c r="AF97" s="102" t="str">
        <f>IF(ISERROR(VLOOKUP(AE97,小分類・セグメント!$A:$C,3,FALSE)),"",VLOOKUP(AE97,小分類・セグメント!$A:$C,3,FALSE))</f>
        <v>ECD</v>
      </c>
      <c r="AG97" s="103" t="str">
        <f>IF(ISERROR(VLOOKUP(AE97,小細分類・事業部マスタ!$E:$H,4,FALSE)),"",VLOOKUP(AE97,小細分類・事業部マスタ!$E:$H,4,FALSE))</f>
        <v>パワーデバイス事業部</v>
      </c>
      <c r="AH97" s="101" t="s">
        <v>2169</v>
      </c>
      <c r="AI97" s="104">
        <f>IF(ISERROR(VLOOKUP(AJ97,設置場所!$A:$B,2,FALSE)),"",VLOOKUP(AJ97,設置場所!$A:$B,2,FALSE))</f>
        <v>900000030</v>
      </c>
      <c r="AJ97" s="101" t="s">
        <v>2191</v>
      </c>
      <c r="AK97" s="101" t="s">
        <v>1331</v>
      </c>
      <c r="AL97" s="101" t="s">
        <v>1336</v>
      </c>
      <c r="AM97" s="101"/>
      <c r="AN97" s="101"/>
      <c r="AO97" s="101"/>
      <c r="AP97" s="101"/>
      <c r="AQ97" s="101"/>
      <c r="AR97" s="105"/>
      <c r="AS97" s="171"/>
    </row>
    <row r="98" spans="1:45">
      <c r="A98" s="131" t="s">
        <v>1224</v>
      </c>
      <c r="B98" s="156" t="s">
        <v>1337</v>
      </c>
      <c r="C98" s="156" t="s">
        <v>1321</v>
      </c>
      <c r="D98" s="156" t="s">
        <v>1445</v>
      </c>
      <c r="E98" s="156"/>
      <c r="F98" s="156" t="s">
        <v>1771</v>
      </c>
      <c r="G98" s="157">
        <v>42613</v>
      </c>
      <c r="H98" s="158" t="s">
        <v>1922</v>
      </c>
      <c r="I98" s="158" t="s">
        <v>2034</v>
      </c>
      <c r="J98" s="156" t="s">
        <v>2142</v>
      </c>
      <c r="K98" s="156" t="s">
        <v>2157</v>
      </c>
      <c r="L98" s="156" t="s">
        <v>2168</v>
      </c>
      <c r="M98" s="156">
        <v>8</v>
      </c>
      <c r="N98" s="159">
        <v>3270000</v>
      </c>
      <c r="O98" s="160">
        <v>1</v>
      </c>
      <c r="P98" s="160">
        <v>1</v>
      </c>
      <c r="Q98" s="160">
        <v>0</v>
      </c>
      <c r="R98" s="159">
        <v>1</v>
      </c>
      <c r="S98" s="157"/>
      <c r="T98" s="157">
        <v>44286</v>
      </c>
      <c r="U98" s="161">
        <v>862207</v>
      </c>
      <c r="V98" s="158" t="s">
        <v>852</v>
      </c>
      <c r="W98" s="158" t="s">
        <v>627</v>
      </c>
      <c r="X98" s="158" t="s">
        <v>2169</v>
      </c>
      <c r="Y98" s="162" t="s">
        <v>2185</v>
      </c>
      <c r="Z98" s="163" t="s">
        <v>2191</v>
      </c>
      <c r="AA98" s="163">
        <v>1</v>
      </c>
      <c r="AB98" s="163">
        <v>1</v>
      </c>
      <c r="AC98" s="101">
        <v>1</v>
      </c>
      <c r="AD98" s="101">
        <v>1</v>
      </c>
      <c r="AE98" s="101" t="s">
        <v>2201</v>
      </c>
      <c r="AF98" s="102" t="str">
        <f>IF(ISERROR(VLOOKUP(AE98,小分類・セグメント!$A:$C,3,FALSE)),"",VLOOKUP(AE98,小分類・セグメント!$A:$C,3,FALSE))</f>
        <v>ECD</v>
      </c>
      <c r="AG98" s="103" t="str">
        <f>IF(ISERROR(VLOOKUP(AE98,小細分類・事業部マスタ!$E:$H,4,FALSE)),"",VLOOKUP(AE98,小細分類・事業部マスタ!$E:$H,4,FALSE))</f>
        <v>パワーデバイス事業部</v>
      </c>
      <c r="AH98" s="101" t="s">
        <v>2169</v>
      </c>
      <c r="AI98" s="104">
        <f>IF(ISERROR(VLOOKUP(AJ98,設置場所!$A:$B,2,FALSE)),"",VLOOKUP(AJ98,設置場所!$A:$B,2,FALSE))</f>
        <v>900000030</v>
      </c>
      <c r="AJ98" s="101" t="s">
        <v>2191</v>
      </c>
      <c r="AK98" s="101" t="s">
        <v>1331</v>
      </c>
      <c r="AL98" s="101" t="s">
        <v>1336</v>
      </c>
      <c r="AM98" s="101"/>
      <c r="AN98" s="101"/>
      <c r="AO98" s="101"/>
      <c r="AP98" s="101"/>
      <c r="AQ98" s="101"/>
      <c r="AR98" s="105"/>
      <c r="AS98" s="171"/>
    </row>
    <row r="99" spans="1:45">
      <c r="A99" s="131" t="s">
        <v>1224</v>
      </c>
      <c r="B99" s="156" t="s">
        <v>1337</v>
      </c>
      <c r="C99" s="156" t="s">
        <v>1321</v>
      </c>
      <c r="D99" s="156" t="s">
        <v>1446</v>
      </c>
      <c r="E99" s="156"/>
      <c r="F99" s="156" t="s">
        <v>1772</v>
      </c>
      <c r="G99" s="157">
        <v>42613</v>
      </c>
      <c r="H99" s="158" t="s">
        <v>1922</v>
      </c>
      <c r="I99" s="158" t="s">
        <v>2035</v>
      </c>
      <c r="J99" s="156" t="s">
        <v>2142</v>
      </c>
      <c r="K99" s="156" t="s">
        <v>2157</v>
      </c>
      <c r="L99" s="156" t="s">
        <v>2168</v>
      </c>
      <c r="M99" s="156">
        <v>8</v>
      </c>
      <c r="N99" s="159">
        <v>3270000</v>
      </c>
      <c r="O99" s="160">
        <v>1</v>
      </c>
      <c r="P99" s="160">
        <v>1</v>
      </c>
      <c r="Q99" s="160">
        <v>0</v>
      </c>
      <c r="R99" s="159">
        <v>1</v>
      </c>
      <c r="S99" s="157"/>
      <c r="T99" s="157">
        <v>44286</v>
      </c>
      <c r="U99" s="161">
        <v>862207</v>
      </c>
      <c r="V99" s="158" t="s">
        <v>852</v>
      </c>
      <c r="W99" s="158" t="s">
        <v>627</v>
      </c>
      <c r="X99" s="158" t="s">
        <v>2169</v>
      </c>
      <c r="Y99" s="162" t="s">
        <v>2185</v>
      </c>
      <c r="Z99" s="163" t="s">
        <v>2191</v>
      </c>
      <c r="AA99" s="163">
        <v>1</v>
      </c>
      <c r="AB99" s="163">
        <v>1</v>
      </c>
      <c r="AC99" s="101">
        <v>1</v>
      </c>
      <c r="AD99" s="101">
        <v>1</v>
      </c>
      <c r="AE99" s="101" t="s">
        <v>2201</v>
      </c>
      <c r="AF99" s="102" t="str">
        <f>IF(ISERROR(VLOOKUP(AE99,小分類・セグメント!$A:$C,3,FALSE)),"",VLOOKUP(AE99,小分類・セグメント!$A:$C,3,FALSE))</f>
        <v>ECD</v>
      </c>
      <c r="AG99" s="103" t="str">
        <f>IF(ISERROR(VLOOKUP(AE99,小細分類・事業部マスタ!$E:$H,4,FALSE)),"",VLOOKUP(AE99,小細分類・事業部マスタ!$E:$H,4,FALSE))</f>
        <v>パワーデバイス事業部</v>
      </c>
      <c r="AH99" s="101" t="s">
        <v>2169</v>
      </c>
      <c r="AI99" s="104">
        <f>IF(ISERROR(VLOOKUP(AJ99,設置場所!$A:$B,2,FALSE)),"",VLOOKUP(AJ99,設置場所!$A:$B,2,FALSE))</f>
        <v>900000030</v>
      </c>
      <c r="AJ99" s="101" t="s">
        <v>2191</v>
      </c>
      <c r="AK99" s="101" t="s">
        <v>1331</v>
      </c>
      <c r="AL99" s="101" t="s">
        <v>1336</v>
      </c>
      <c r="AM99" s="101"/>
      <c r="AN99" s="101"/>
      <c r="AO99" s="101"/>
      <c r="AP99" s="101"/>
      <c r="AQ99" s="101"/>
      <c r="AR99" s="105"/>
      <c r="AS99" s="171"/>
    </row>
    <row r="100" spans="1:45">
      <c r="A100" s="131" t="s">
        <v>1224</v>
      </c>
      <c r="B100" s="156" t="s">
        <v>1337</v>
      </c>
      <c r="C100" s="156" t="s">
        <v>1321</v>
      </c>
      <c r="D100" s="156" t="s">
        <v>1447</v>
      </c>
      <c r="E100" s="156"/>
      <c r="F100" s="156" t="s">
        <v>1773</v>
      </c>
      <c r="G100" s="157">
        <v>42587</v>
      </c>
      <c r="H100" s="158" t="s">
        <v>1927</v>
      </c>
      <c r="I100" s="158" t="s">
        <v>2036</v>
      </c>
      <c r="J100" s="156" t="s">
        <v>2145</v>
      </c>
      <c r="K100" s="156" t="s">
        <v>2160</v>
      </c>
      <c r="L100" s="156" t="s">
        <v>2168</v>
      </c>
      <c r="M100" s="156">
        <v>8</v>
      </c>
      <c r="N100" s="159">
        <v>4720000</v>
      </c>
      <c r="O100" s="160">
        <v>1</v>
      </c>
      <c r="P100" s="160">
        <v>1</v>
      </c>
      <c r="Q100" s="160">
        <v>0</v>
      </c>
      <c r="R100" s="159">
        <v>1</v>
      </c>
      <c r="S100" s="157"/>
      <c r="T100" s="157">
        <v>44286</v>
      </c>
      <c r="U100" s="161">
        <v>1244531</v>
      </c>
      <c r="V100" s="158" t="s">
        <v>852</v>
      </c>
      <c r="W100" s="158" t="s">
        <v>627</v>
      </c>
      <c r="X100" s="158" t="s">
        <v>2169</v>
      </c>
      <c r="Y100" s="162" t="s">
        <v>2185</v>
      </c>
      <c r="Z100" s="163" t="s">
        <v>2191</v>
      </c>
      <c r="AA100" s="163">
        <v>1</v>
      </c>
      <c r="AB100" s="163">
        <v>1</v>
      </c>
      <c r="AC100" s="101">
        <v>1</v>
      </c>
      <c r="AD100" s="101">
        <v>1</v>
      </c>
      <c r="AE100" s="101" t="s">
        <v>2201</v>
      </c>
      <c r="AF100" s="102" t="str">
        <f>IF(ISERROR(VLOOKUP(AE100,小分類・セグメント!$A:$C,3,FALSE)),"",VLOOKUP(AE100,小分類・セグメント!$A:$C,3,FALSE))</f>
        <v>ECD</v>
      </c>
      <c r="AG100" s="103" t="str">
        <f>IF(ISERROR(VLOOKUP(AE100,小細分類・事業部マスタ!$E:$H,4,FALSE)),"",VLOOKUP(AE100,小細分類・事業部マスタ!$E:$H,4,FALSE))</f>
        <v>パワーデバイス事業部</v>
      </c>
      <c r="AH100" s="101" t="s">
        <v>2169</v>
      </c>
      <c r="AI100" s="104">
        <f>IF(ISERROR(VLOOKUP(AJ100,設置場所!$A:$B,2,FALSE)),"",VLOOKUP(AJ100,設置場所!$A:$B,2,FALSE))</f>
        <v>900000030</v>
      </c>
      <c r="AJ100" s="101" t="s">
        <v>2191</v>
      </c>
      <c r="AK100" s="101" t="s">
        <v>1331</v>
      </c>
      <c r="AL100" s="101" t="s">
        <v>1336</v>
      </c>
      <c r="AM100" s="101"/>
      <c r="AN100" s="101"/>
      <c r="AO100" s="101"/>
      <c r="AP100" s="101"/>
      <c r="AQ100" s="101"/>
      <c r="AR100" s="105"/>
      <c r="AS100" s="171"/>
    </row>
    <row r="101" spans="1:45">
      <c r="A101" s="131" t="s">
        <v>1224</v>
      </c>
      <c r="B101" s="156" t="s">
        <v>1337</v>
      </c>
      <c r="C101" s="156" t="s">
        <v>1321</v>
      </c>
      <c r="D101" s="156" t="s">
        <v>1448</v>
      </c>
      <c r="E101" s="156"/>
      <c r="F101" s="156" t="s">
        <v>1774</v>
      </c>
      <c r="G101" s="157">
        <v>42612</v>
      </c>
      <c r="H101" s="158" t="s">
        <v>1918</v>
      </c>
      <c r="I101" s="158" t="s">
        <v>2037</v>
      </c>
      <c r="J101" s="156" t="s">
        <v>2141</v>
      </c>
      <c r="K101" s="156" t="s">
        <v>2156</v>
      </c>
      <c r="L101" s="156" t="s">
        <v>2168</v>
      </c>
      <c r="M101" s="156">
        <v>8</v>
      </c>
      <c r="N101" s="159">
        <v>2490000</v>
      </c>
      <c r="O101" s="160">
        <v>1</v>
      </c>
      <c r="P101" s="160">
        <v>1</v>
      </c>
      <c r="Q101" s="160">
        <v>0</v>
      </c>
      <c r="R101" s="159">
        <v>1</v>
      </c>
      <c r="S101" s="157"/>
      <c r="T101" s="157">
        <v>44286</v>
      </c>
      <c r="U101" s="161">
        <v>672956</v>
      </c>
      <c r="V101" s="158" t="s">
        <v>852</v>
      </c>
      <c r="W101" s="158" t="s">
        <v>627</v>
      </c>
      <c r="X101" s="158"/>
      <c r="Y101" s="162" t="s">
        <v>2185</v>
      </c>
      <c r="Z101" s="163" t="s">
        <v>2191</v>
      </c>
      <c r="AA101" s="163">
        <v>1</v>
      </c>
      <c r="AB101" s="163">
        <v>1</v>
      </c>
      <c r="AC101" s="101">
        <v>1</v>
      </c>
      <c r="AD101" s="101">
        <v>1</v>
      </c>
      <c r="AE101" s="101" t="s">
        <v>2201</v>
      </c>
      <c r="AF101" s="102" t="str">
        <f>IF(ISERROR(VLOOKUP(AE101,小分類・セグメント!$A:$C,3,FALSE)),"",VLOOKUP(AE101,小分類・セグメント!$A:$C,3,FALSE))</f>
        <v>ECD</v>
      </c>
      <c r="AG101" s="103" t="str">
        <f>IF(ISERROR(VLOOKUP(AE101,小細分類・事業部マスタ!$E:$H,4,FALSE)),"",VLOOKUP(AE101,小細分類・事業部マスタ!$E:$H,4,FALSE))</f>
        <v>パワーデバイス事業部</v>
      </c>
      <c r="AH101" s="101" t="s">
        <v>2169</v>
      </c>
      <c r="AI101" s="104">
        <f>IF(ISERROR(VLOOKUP(AJ101,設置場所!$A:$B,2,FALSE)),"",VLOOKUP(AJ101,設置場所!$A:$B,2,FALSE))</f>
        <v>900000030</v>
      </c>
      <c r="AJ101" s="101" t="s">
        <v>2191</v>
      </c>
      <c r="AK101" s="101" t="s">
        <v>1331</v>
      </c>
      <c r="AL101" s="101" t="s">
        <v>1336</v>
      </c>
      <c r="AM101" s="101"/>
      <c r="AN101" s="101"/>
      <c r="AO101" s="101"/>
      <c r="AP101" s="101"/>
      <c r="AQ101" s="101"/>
      <c r="AR101" s="105"/>
      <c r="AS101" s="171"/>
    </row>
    <row r="102" spans="1:45">
      <c r="A102" s="131" t="s">
        <v>1224</v>
      </c>
      <c r="B102" s="156" t="s">
        <v>1337</v>
      </c>
      <c r="C102" s="156" t="s">
        <v>1321</v>
      </c>
      <c r="D102" s="156" t="s">
        <v>1449</v>
      </c>
      <c r="E102" s="156"/>
      <c r="F102" s="156" t="s">
        <v>1775</v>
      </c>
      <c r="G102" s="157">
        <v>42612</v>
      </c>
      <c r="H102" s="158" t="s">
        <v>1918</v>
      </c>
      <c r="I102" s="158" t="s">
        <v>2037</v>
      </c>
      <c r="J102" s="156" t="s">
        <v>2141</v>
      </c>
      <c r="K102" s="156" t="s">
        <v>2156</v>
      </c>
      <c r="L102" s="156" t="s">
        <v>2168</v>
      </c>
      <c r="M102" s="156">
        <v>8</v>
      </c>
      <c r="N102" s="159">
        <v>2490000</v>
      </c>
      <c r="O102" s="160">
        <v>1</v>
      </c>
      <c r="P102" s="160">
        <v>1</v>
      </c>
      <c r="Q102" s="160">
        <v>0</v>
      </c>
      <c r="R102" s="159">
        <v>1</v>
      </c>
      <c r="S102" s="157"/>
      <c r="T102" s="157">
        <v>44286</v>
      </c>
      <c r="U102" s="161">
        <v>672956</v>
      </c>
      <c r="V102" s="158" t="s">
        <v>852</v>
      </c>
      <c r="W102" s="158" t="s">
        <v>627</v>
      </c>
      <c r="X102" s="158"/>
      <c r="Y102" s="162" t="s">
        <v>2185</v>
      </c>
      <c r="Z102" s="163" t="s">
        <v>2191</v>
      </c>
      <c r="AA102" s="163">
        <v>1</v>
      </c>
      <c r="AB102" s="163">
        <v>1</v>
      </c>
      <c r="AC102" s="101">
        <v>1</v>
      </c>
      <c r="AD102" s="101">
        <v>1</v>
      </c>
      <c r="AE102" s="101" t="s">
        <v>2201</v>
      </c>
      <c r="AF102" s="102" t="str">
        <f>IF(ISERROR(VLOOKUP(AE102,小分類・セグメント!$A:$C,3,FALSE)),"",VLOOKUP(AE102,小分類・セグメント!$A:$C,3,FALSE))</f>
        <v>ECD</v>
      </c>
      <c r="AG102" s="103" t="str">
        <f>IF(ISERROR(VLOOKUP(AE102,小細分類・事業部マスタ!$E:$H,4,FALSE)),"",VLOOKUP(AE102,小細分類・事業部マスタ!$E:$H,4,FALSE))</f>
        <v>パワーデバイス事業部</v>
      </c>
      <c r="AH102" s="101" t="s">
        <v>2169</v>
      </c>
      <c r="AI102" s="104">
        <f>IF(ISERROR(VLOOKUP(AJ102,設置場所!$A:$B,2,FALSE)),"",VLOOKUP(AJ102,設置場所!$A:$B,2,FALSE))</f>
        <v>900000030</v>
      </c>
      <c r="AJ102" s="101" t="s">
        <v>2191</v>
      </c>
      <c r="AK102" s="101" t="s">
        <v>1331</v>
      </c>
      <c r="AL102" s="101" t="s">
        <v>1336</v>
      </c>
      <c r="AM102" s="101"/>
      <c r="AN102" s="101"/>
      <c r="AO102" s="101"/>
      <c r="AP102" s="101"/>
      <c r="AQ102" s="101"/>
      <c r="AR102" s="105"/>
      <c r="AS102" s="171"/>
    </row>
    <row r="103" spans="1:45">
      <c r="A103" s="131" t="s">
        <v>1224</v>
      </c>
      <c r="B103" s="156" t="s">
        <v>1337</v>
      </c>
      <c r="C103" s="156" t="s">
        <v>1321</v>
      </c>
      <c r="D103" s="156" t="s">
        <v>1450</v>
      </c>
      <c r="E103" s="156"/>
      <c r="F103" s="156" t="s">
        <v>1776</v>
      </c>
      <c r="G103" s="157">
        <v>42643</v>
      </c>
      <c r="H103" s="158" t="s">
        <v>1928</v>
      </c>
      <c r="I103" s="158" t="s">
        <v>2038</v>
      </c>
      <c r="J103" s="156" t="s">
        <v>2142</v>
      </c>
      <c r="K103" s="156" t="s">
        <v>2157</v>
      </c>
      <c r="L103" s="156" t="s">
        <v>2168</v>
      </c>
      <c r="M103" s="156">
        <v>8</v>
      </c>
      <c r="N103" s="159">
        <v>10772876</v>
      </c>
      <c r="O103" s="160">
        <v>1</v>
      </c>
      <c r="P103" s="160">
        <v>1</v>
      </c>
      <c r="Q103" s="160">
        <v>0</v>
      </c>
      <c r="R103" s="159">
        <v>1</v>
      </c>
      <c r="S103" s="157"/>
      <c r="T103" s="157">
        <v>44286</v>
      </c>
      <c r="U103" s="161">
        <v>2911517</v>
      </c>
      <c r="V103" s="158" t="s">
        <v>852</v>
      </c>
      <c r="W103" s="158" t="s">
        <v>627</v>
      </c>
      <c r="X103" s="158"/>
      <c r="Y103" s="162" t="s">
        <v>2185</v>
      </c>
      <c r="Z103" s="163" t="s">
        <v>2191</v>
      </c>
      <c r="AA103" s="163">
        <v>1</v>
      </c>
      <c r="AB103" s="163">
        <v>1</v>
      </c>
      <c r="AC103" s="101">
        <v>1</v>
      </c>
      <c r="AD103" s="101">
        <v>1</v>
      </c>
      <c r="AE103" s="101" t="s">
        <v>2201</v>
      </c>
      <c r="AF103" s="102" t="str">
        <f>IF(ISERROR(VLOOKUP(AE103,小分類・セグメント!$A:$C,3,FALSE)),"",VLOOKUP(AE103,小分類・セグメント!$A:$C,3,FALSE))</f>
        <v>ECD</v>
      </c>
      <c r="AG103" s="103" t="str">
        <f>IF(ISERROR(VLOOKUP(AE103,小細分類・事業部マスタ!$E:$H,4,FALSE)),"",VLOOKUP(AE103,小細分類・事業部マスタ!$E:$H,4,FALSE))</f>
        <v>パワーデバイス事業部</v>
      </c>
      <c r="AH103" s="101" t="s">
        <v>2169</v>
      </c>
      <c r="AI103" s="104">
        <f>IF(ISERROR(VLOOKUP(AJ103,設置場所!$A:$B,2,FALSE)),"",VLOOKUP(AJ103,設置場所!$A:$B,2,FALSE))</f>
        <v>900000030</v>
      </c>
      <c r="AJ103" s="101" t="s">
        <v>2191</v>
      </c>
      <c r="AK103" s="101" t="s">
        <v>1331</v>
      </c>
      <c r="AL103" s="101" t="s">
        <v>1336</v>
      </c>
      <c r="AM103" s="101"/>
      <c r="AN103" s="101"/>
      <c r="AO103" s="101"/>
      <c r="AP103" s="101"/>
      <c r="AQ103" s="101"/>
      <c r="AR103" s="105"/>
      <c r="AS103" s="171"/>
    </row>
    <row r="104" spans="1:45">
      <c r="A104" s="131" t="s">
        <v>1224</v>
      </c>
      <c r="B104" s="156" t="s">
        <v>1337</v>
      </c>
      <c r="C104" s="156" t="s">
        <v>1321</v>
      </c>
      <c r="D104" s="156" t="s">
        <v>1451</v>
      </c>
      <c r="E104" s="156"/>
      <c r="F104" s="156" t="s">
        <v>1777</v>
      </c>
      <c r="G104" s="157">
        <v>42674</v>
      </c>
      <c r="H104" s="158" t="s">
        <v>1922</v>
      </c>
      <c r="I104" s="158" t="s">
        <v>2039</v>
      </c>
      <c r="J104" s="156" t="s">
        <v>2135</v>
      </c>
      <c r="K104" s="156" t="s">
        <v>2150</v>
      </c>
      <c r="L104" s="156" t="s">
        <v>2168</v>
      </c>
      <c r="M104" s="156">
        <v>8</v>
      </c>
      <c r="N104" s="159">
        <v>2082700</v>
      </c>
      <c r="O104" s="160">
        <v>1</v>
      </c>
      <c r="P104" s="160">
        <v>1</v>
      </c>
      <c r="Q104" s="160">
        <v>0</v>
      </c>
      <c r="R104" s="159">
        <v>1</v>
      </c>
      <c r="S104" s="157"/>
      <c r="T104" s="157">
        <v>44286</v>
      </c>
      <c r="U104" s="161">
        <v>576607</v>
      </c>
      <c r="V104" s="158" t="s">
        <v>852</v>
      </c>
      <c r="W104" s="158" t="s">
        <v>627</v>
      </c>
      <c r="X104" s="158"/>
      <c r="Y104" s="162" t="s">
        <v>2185</v>
      </c>
      <c r="Z104" s="163" t="s">
        <v>2191</v>
      </c>
      <c r="AA104" s="163">
        <v>1</v>
      </c>
      <c r="AB104" s="163">
        <v>1</v>
      </c>
      <c r="AC104" s="101">
        <v>1</v>
      </c>
      <c r="AD104" s="101">
        <v>1</v>
      </c>
      <c r="AE104" s="101" t="s">
        <v>2201</v>
      </c>
      <c r="AF104" s="102" t="str">
        <f>IF(ISERROR(VLOOKUP(AE104,小分類・セグメント!$A:$C,3,FALSE)),"",VLOOKUP(AE104,小分類・セグメント!$A:$C,3,FALSE))</f>
        <v>ECD</v>
      </c>
      <c r="AG104" s="103" t="str">
        <f>IF(ISERROR(VLOOKUP(AE104,小細分類・事業部マスタ!$E:$H,4,FALSE)),"",VLOOKUP(AE104,小細分類・事業部マスタ!$E:$H,4,FALSE))</f>
        <v>パワーデバイス事業部</v>
      </c>
      <c r="AH104" s="101" t="s">
        <v>2169</v>
      </c>
      <c r="AI104" s="104">
        <f>IF(ISERROR(VLOOKUP(AJ104,設置場所!$A:$B,2,FALSE)),"",VLOOKUP(AJ104,設置場所!$A:$B,2,FALSE))</f>
        <v>900000030</v>
      </c>
      <c r="AJ104" s="101" t="s">
        <v>2191</v>
      </c>
      <c r="AK104" s="101" t="s">
        <v>1331</v>
      </c>
      <c r="AL104" s="101" t="s">
        <v>1336</v>
      </c>
      <c r="AM104" s="101"/>
      <c r="AN104" s="101"/>
      <c r="AO104" s="101"/>
      <c r="AP104" s="101"/>
      <c r="AQ104" s="101"/>
      <c r="AR104" s="105"/>
      <c r="AS104" s="171"/>
    </row>
    <row r="105" spans="1:45">
      <c r="A105" s="131" t="s">
        <v>1224</v>
      </c>
      <c r="B105" s="156" t="s">
        <v>1337</v>
      </c>
      <c r="C105" s="156" t="s">
        <v>1321</v>
      </c>
      <c r="D105" s="156" t="s">
        <v>1452</v>
      </c>
      <c r="E105" s="156"/>
      <c r="F105" s="156" t="s">
        <v>1778</v>
      </c>
      <c r="G105" s="157">
        <v>42674</v>
      </c>
      <c r="H105" s="158" t="s">
        <v>1922</v>
      </c>
      <c r="I105" s="158" t="s">
        <v>2039</v>
      </c>
      <c r="J105" s="156" t="s">
        <v>2135</v>
      </c>
      <c r="K105" s="156" t="s">
        <v>2150</v>
      </c>
      <c r="L105" s="156" t="s">
        <v>2168</v>
      </c>
      <c r="M105" s="156">
        <v>8</v>
      </c>
      <c r="N105" s="159">
        <v>2082700</v>
      </c>
      <c r="O105" s="160">
        <v>1</v>
      </c>
      <c r="P105" s="160">
        <v>1</v>
      </c>
      <c r="Q105" s="160">
        <v>0</v>
      </c>
      <c r="R105" s="159">
        <v>1</v>
      </c>
      <c r="S105" s="157"/>
      <c r="T105" s="157">
        <v>44286</v>
      </c>
      <c r="U105" s="161">
        <v>576607</v>
      </c>
      <c r="V105" s="158" t="s">
        <v>852</v>
      </c>
      <c r="W105" s="158" t="s">
        <v>627</v>
      </c>
      <c r="X105" s="158"/>
      <c r="Y105" s="162" t="s">
        <v>2185</v>
      </c>
      <c r="Z105" s="163" t="s">
        <v>2191</v>
      </c>
      <c r="AA105" s="163">
        <v>1</v>
      </c>
      <c r="AB105" s="163">
        <v>4</v>
      </c>
      <c r="AC105" s="101">
        <v>1</v>
      </c>
      <c r="AD105" s="101">
        <v>4</v>
      </c>
      <c r="AE105" s="101" t="s">
        <v>2201</v>
      </c>
      <c r="AF105" s="102" t="str">
        <f>IF(ISERROR(VLOOKUP(AE105,小分類・セグメント!$A:$C,3,FALSE)),"",VLOOKUP(AE105,小分類・セグメント!$A:$C,3,FALSE))</f>
        <v>ECD</v>
      </c>
      <c r="AG105" s="103" t="str">
        <f>IF(ISERROR(VLOOKUP(AE105,小細分類・事業部マスタ!$E:$H,4,FALSE)),"",VLOOKUP(AE105,小細分類・事業部マスタ!$E:$H,4,FALSE))</f>
        <v>パワーデバイス事業部</v>
      </c>
      <c r="AH105" s="101" t="s">
        <v>2169</v>
      </c>
      <c r="AI105" s="104">
        <f>IF(ISERROR(VLOOKUP(AJ105,設置場所!$A:$B,2,FALSE)),"",VLOOKUP(AJ105,設置場所!$A:$B,2,FALSE))</f>
        <v>900000030</v>
      </c>
      <c r="AJ105" s="101" t="s">
        <v>2191</v>
      </c>
      <c r="AK105" s="101" t="s">
        <v>1331</v>
      </c>
      <c r="AL105" s="101" t="s">
        <v>1336</v>
      </c>
      <c r="AM105" s="101"/>
      <c r="AN105" s="101"/>
      <c r="AO105" s="101"/>
      <c r="AP105" s="101"/>
      <c r="AQ105" s="101"/>
      <c r="AR105" s="105"/>
      <c r="AS105" s="171"/>
    </row>
    <row r="106" spans="1:45">
      <c r="A106" s="131" t="s">
        <v>1224</v>
      </c>
      <c r="B106" s="156" t="s">
        <v>1337</v>
      </c>
      <c r="C106" s="156" t="s">
        <v>1321</v>
      </c>
      <c r="D106" s="156" t="s">
        <v>1453</v>
      </c>
      <c r="E106" s="156"/>
      <c r="F106" s="156" t="s">
        <v>1779</v>
      </c>
      <c r="G106" s="157">
        <v>42699</v>
      </c>
      <c r="H106" s="158" t="s">
        <v>1918</v>
      </c>
      <c r="I106" s="158" t="s">
        <v>2040</v>
      </c>
      <c r="J106" s="156" t="s">
        <v>2135</v>
      </c>
      <c r="K106" s="156" t="s">
        <v>2150</v>
      </c>
      <c r="L106" s="156" t="s">
        <v>2168</v>
      </c>
      <c r="M106" s="156">
        <v>8</v>
      </c>
      <c r="N106" s="159">
        <v>13720000</v>
      </c>
      <c r="O106" s="160">
        <v>1</v>
      </c>
      <c r="P106" s="160">
        <v>1</v>
      </c>
      <c r="Q106" s="160">
        <v>0</v>
      </c>
      <c r="R106" s="159">
        <v>1</v>
      </c>
      <c r="S106" s="157"/>
      <c r="T106" s="157">
        <v>44286</v>
      </c>
      <c r="U106" s="161">
        <v>3888897</v>
      </c>
      <c r="V106" s="158" t="s">
        <v>852</v>
      </c>
      <c r="W106" s="158" t="s">
        <v>627</v>
      </c>
      <c r="X106" s="158"/>
      <c r="Y106" s="162" t="s">
        <v>2185</v>
      </c>
      <c r="Z106" s="163" t="s">
        <v>2191</v>
      </c>
      <c r="AA106" s="163">
        <v>1</v>
      </c>
      <c r="AB106" s="163">
        <v>1</v>
      </c>
      <c r="AC106" s="101">
        <v>1</v>
      </c>
      <c r="AD106" s="101">
        <v>1</v>
      </c>
      <c r="AE106" s="101" t="s">
        <v>2201</v>
      </c>
      <c r="AF106" s="102" t="str">
        <f>IF(ISERROR(VLOOKUP(AE106,小分類・セグメント!$A:$C,3,FALSE)),"",VLOOKUP(AE106,小分類・セグメント!$A:$C,3,FALSE))</f>
        <v>ECD</v>
      </c>
      <c r="AG106" s="103" t="str">
        <f>IF(ISERROR(VLOOKUP(AE106,小細分類・事業部マスタ!$E:$H,4,FALSE)),"",VLOOKUP(AE106,小細分類・事業部マスタ!$E:$H,4,FALSE))</f>
        <v>パワーデバイス事業部</v>
      </c>
      <c r="AH106" s="101" t="s">
        <v>2169</v>
      </c>
      <c r="AI106" s="104">
        <f>IF(ISERROR(VLOOKUP(AJ106,設置場所!$A:$B,2,FALSE)),"",VLOOKUP(AJ106,設置場所!$A:$B,2,FALSE))</f>
        <v>900000030</v>
      </c>
      <c r="AJ106" s="101" t="s">
        <v>2191</v>
      </c>
      <c r="AK106" s="101" t="s">
        <v>1331</v>
      </c>
      <c r="AL106" s="101" t="s">
        <v>1336</v>
      </c>
      <c r="AM106" s="101"/>
      <c r="AN106" s="101"/>
      <c r="AO106" s="101"/>
      <c r="AP106" s="101"/>
      <c r="AQ106" s="101"/>
      <c r="AR106" s="105"/>
      <c r="AS106" s="171"/>
    </row>
    <row r="107" spans="1:45">
      <c r="A107" s="131" t="s">
        <v>1224</v>
      </c>
      <c r="B107" s="156" t="s">
        <v>1337</v>
      </c>
      <c r="C107" s="156" t="s">
        <v>1321</v>
      </c>
      <c r="D107" s="156" t="s">
        <v>1454</v>
      </c>
      <c r="E107" s="156" t="s">
        <v>1634</v>
      </c>
      <c r="F107" s="156" t="s">
        <v>1780</v>
      </c>
      <c r="G107" s="157">
        <v>42790</v>
      </c>
      <c r="H107" s="158" t="s">
        <v>1927</v>
      </c>
      <c r="I107" s="158" t="s">
        <v>2041</v>
      </c>
      <c r="J107" s="156" t="s">
        <v>2145</v>
      </c>
      <c r="K107" s="156" t="s">
        <v>2160</v>
      </c>
      <c r="L107" s="156" t="s">
        <v>2168</v>
      </c>
      <c r="M107" s="156">
        <v>8</v>
      </c>
      <c r="N107" s="159">
        <v>30000000</v>
      </c>
      <c r="O107" s="160">
        <v>1</v>
      </c>
      <c r="P107" s="160">
        <v>1</v>
      </c>
      <c r="Q107" s="160">
        <v>0</v>
      </c>
      <c r="R107" s="159">
        <v>1</v>
      </c>
      <c r="S107" s="157"/>
      <c r="T107" s="157">
        <v>44286</v>
      </c>
      <c r="U107" s="161">
        <v>9096680</v>
      </c>
      <c r="V107" s="158" t="s">
        <v>852</v>
      </c>
      <c r="W107" s="158" t="s">
        <v>627</v>
      </c>
      <c r="X107" s="158" t="s">
        <v>2169</v>
      </c>
      <c r="Y107" s="162" t="s">
        <v>2185</v>
      </c>
      <c r="Z107" s="163" t="s">
        <v>2191</v>
      </c>
      <c r="AA107" s="163">
        <v>1</v>
      </c>
      <c r="AB107" s="163">
        <v>1</v>
      </c>
      <c r="AC107" s="101">
        <v>1</v>
      </c>
      <c r="AD107" s="101">
        <v>1</v>
      </c>
      <c r="AE107" s="101" t="s">
        <v>2201</v>
      </c>
      <c r="AF107" s="102" t="str">
        <f>IF(ISERROR(VLOOKUP(AE107,小分類・セグメント!$A:$C,3,FALSE)),"",VLOOKUP(AE107,小分類・セグメント!$A:$C,3,FALSE))</f>
        <v>ECD</v>
      </c>
      <c r="AG107" s="103" t="str">
        <f>IF(ISERROR(VLOOKUP(AE107,小細分類・事業部マスタ!$E:$H,4,FALSE)),"",VLOOKUP(AE107,小細分類・事業部マスタ!$E:$H,4,FALSE))</f>
        <v>パワーデバイス事業部</v>
      </c>
      <c r="AH107" s="101" t="s">
        <v>2169</v>
      </c>
      <c r="AI107" s="104">
        <f>IF(ISERROR(VLOOKUP(AJ107,設置場所!$A:$B,2,FALSE)),"",VLOOKUP(AJ107,設置場所!$A:$B,2,FALSE))</f>
        <v>900000030</v>
      </c>
      <c r="AJ107" s="101" t="s">
        <v>2191</v>
      </c>
      <c r="AK107" s="101" t="s">
        <v>1331</v>
      </c>
      <c r="AL107" s="101" t="s">
        <v>1336</v>
      </c>
      <c r="AM107" s="101"/>
      <c r="AN107" s="101"/>
      <c r="AO107" s="101"/>
      <c r="AP107" s="101"/>
      <c r="AQ107" s="101"/>
      <c r="AR107" s="105"/>
      <c r="AS107" s="171"/>
    </row>
    <row r="108" spans="1:45">
      <c r="A108" s="131" t="s">
        <v>1224</v>
      </c>
      <c r="B108" s="156" t="s">
        <v>1337</v>
      </c>
      <c r="C108" s="156" t="s">
        <v>1321</v>
      </c>
      <c r="D108" s="156" t="s">
        <v>1455</v>
      </c>
      <c r="E108" s="156"/>
      <c r="F108" s="156" t="s">
        <v>1781</v>
      </c>
      <c r="G108" s="157">
        <v>43056</v>
      </c>
      <c r="H108" s="158" t="s">
        <v>1927</v>
      </c>
      <c r="I108" s="158" t="s">
        <v>2042</v>
      </c>
      <c r="J108" s="156" t="s">
        <v>2145</v>
      </c>
      <c r="K108" s="156" t="s">
        <v>2160</v>
      </c>
      <c r="L108" s="156" t="s">
        <v>2168</v>
      </c>
      <c r="M108" s="156">
        <v>8</v>
      </c>
      <c r="N108" s="159">
        <v>2500000</v>
      </c>
      <c r="O108" s="160">
        <v>1</v>
      </c>
      <c r="P108" s="160">
        <v>1</v>
      </c>
      <c r="Q108" s="160">
        <v>0</v>
      </c>
      <c r="R108" s="159">
        <v>1</v>
      </c>
      <c r="S108" s="157"/>
      <c r="T108" s="157">
        <v>44286</v>
      </c>
      <c r="U108" s="161">
        <v>944824</v>
      </c>
      <c r="V108" s="158" t="s">
        <v>852</v>
      </c>
      <c r="W108" s="158" t="s">
        <v>627</v>
      </c>
      <c r="X108" s="158" t="s">
        <v>2169</v>
      </c>
      <c r="Y108" s="162" t="s">
        <v>2185</v>
      </c>
      <c r="Z108" s="163" t="s">
        <v>2191</v>
      </c>
      <c r="AA108" s="163">
        <v>1</v>
      </c>
      <c r="AB108" s="163">
        <v>1</v>
      </c>
      <c r="AC108" s="101">
        <v>1</v>
      </c>
      <c r="AD108" s="101">
        <v>1</v>
      </c>
      <c r="AE108" s="101" t="s">
        <v>2201</v>
      </c>
      <c r="AF108" s="102" t="str">
        <f>IF(ISERROR(VLOOKUP(AE108,小分類・セグメント!$A:$C,3,FALSE)),"",VLOOKUP(AE108,小分類・セグメント!$A:$C,3,FALSE))</f>
        <v>ECD</v>
      </c>
      <c r="AG108" s="103" t="str">
        <f>IF(ISERROR(VLOOKUP(AE108,小細分類・事業部マスタ!$E:$H,4,FALSE)),"",VLOOKUP(AE108,小細分類・事業部マスタ!$E:$H,4,FALSE))</f>
        <v>パワーデバイス事業部</v>
      </c>
      <c r="AH108" s="101" t="s">
        <v>2169</v>
      </c>
      <c r="AI108" s="104">
        <f>IF(ISERROR(VLOOKUP(AJ108,設置場所!$A:$B,2,FALSE)),"",VLOOKUP(AJ108,設置場所!$A:$B,2,FALSE))</f>
        <v>900000030</v>
      </c>
      <c r="AJ108" s="101" t="s">
        <v>2191</v>
      </c>
      <c r="AK108" s="101" t="s">
        <v>1331</v>
      </c>
      <c r="AL108" s="101" t="s">
        <v>1336</v>
      </c>
      <c r="AM108" s="101"/>
      <c r="AN108" s="101"/>
      <c r="AO108" s="101"/>
      <c r="AP108" s="101"/>
      <c r="AQ108" s="101"/>
      <c r="AR108" s="105"/>
      <c r="AS108" s="171"/>
    </row>
    <row r="109" spans="1:45">
      <c r="A109" s="131" t="s">
        <v>1224</v>
      </c>
      <c r="B109" s="156" t="s">
        <v>1337</v>
      </c>
      <c r="C109" s="156" t="s">
        <v>1321</v>
      </c>
      <c r="D109" s="156" t="s">
        <v>1456</v>
      </c>
      <c r="E109" s="156"/>
      <c r="F109" s="156" t="s">
        <v>1782</v>
      </c>
      <c r="G109" s="157">
        <v>43437</v>
      </c>
      <c r="H109" s="158" t="s">
        <v>1927</v>
      </c>
      <c r="I109" s="158" t="s">
        <v>2025</v>
      </c>
      <c r="J109" s="156" t="s">
        <v>2145</v>
      </c>
      <c r="K109" s="156" t="s">
        <v>2160</v>
      </c>
      <c r="L109" s="156" t="s">
        <v>2168</v>
      </c>
      <c r="M109" s="156">
        <v>8</v>
      </c>
      <c r="N109" s="159">
        <v>1030000</v>
      </c>
      <c r="O109" s="160">
        <v>1</v>
      </c>
      <c r="P109" s="160">
        <v>1</v>
      </c>
      <c r="Q109" s="160">
        <v>0</v>
      </c>
      <c r="R109" s="159">
        <v>1</v>
      </c>
      <c r="S109" s="157"/>
      <c r="T109" s="157">
        <v>44286</v>
      </c>
      <c r="U109" s="161">
        <v>531094</v>
      </c>
      <c r="V109" s="158" t="s">
        <v>852</v>
      </c>
      <c r="W109" s="158" t="s">
        <v>627</v>
      </c>
      <c r="X109" s="158" t="s">
        <v>2169</v>
      </c>
      <c r="Y109" s="162" t="s">
        <v>2185</v>
      </c>
      <c r="Z109" s="163" t="s">
        <v>2191</v>
      </c>
      <c r="AA109" s="163">
        <v>1</v>
      </c>
      <c r="AB109" s="163">
        <v>1</v>
      </c>
      <c r="AC109" s="101">
        <v>1</v>
      </c>
      <c r="AD109" s="101">
        <v>1</v>
      </c>
      <c r="AE109" s="101" t="s">
        <v>2201</v>
      </c>
      <c r="AF109" s="102" t="str">
        <f>IF(ISERROR(VLOOKUP(AE109,小分類・セグメント!$A:$C,3,FALSE)),"",VLOOKUP(AE109,小分類・セグメント!$A:$C,3,FALSE))</f>
        <v>ECD</v>
      </c>
      <c r="AG109" s="103" t="str">
        <f>IF(ISERROR(VLOOKUP(AE109,小細分類・事業部マスタ!$E:$H,4,FALSE)),"",VLOOKUP(AE109,小細分類・事業部マスタ!$E:$H,4,FALSE))</f>
        <v>パワーデバイス事業部</v>
      </c>
      <c r="AH109" s="101" t="s">
        <v>2169</v>
      </c>
      <c r="AI109" s="104">
        <f>IF(ISERROR(VLOOKUP(AJ109,設置場所!$A:$B,2,FALSE)),"",VLOOKUP(AJ109,設置場所!$A:$B,2,FALSE))</f>
        <v>900000030</v>
      </c>
      <c r="AJ109" s="101" t="s">
        <v>2191</v>
      </c>
      <c r="AK109" s="101" t="s">
        <v>1331</v>
      </c>
      <c r="AL109" s="101" t="s">
        <v>1336</v>
      </c>
      <c r="AM109" s="101"/>
      <c r="AN109" s="101"/>
      <c r="AO109" s="101"/>
      <c r="AP109" s="101"/>
      <c r="AQ109" s="101"/>
      <c r="AR109" s="105"/>
      <c r="AS109" s="171"/>
    </row>
    <row r="110" spans="1:45">
      <c r="A110" s="131" t="s">
        <v>1224</v>
      </c>
      <c r="B110" s="156" t="s">
        <v>1337</v>
      </c>
      <c r="C110" s="156" t="s">
        <v>1321</v>
      </c>
      <c r="D110" s="156" t="s">
        <v>1457</v>
      </c>
      <c r="E110" s="156"/>
      <c r="F110" s="156" t="s">
        <v>1783</v>
      </c>
      <c r="G110" s="157">
        <v>43437</v>
      </c>
      <c r="H110" s="158" t="s">
        <v>1927</v>
      </c>
      <c r="I110" s="158" t="s">
        <v>2025</v>
      </c>
      <c r="J110" s="156" t="s">
        <v>2145</v>
      </c>
      <c r="K110" s="156" t="s">
        <v>2160</v>
      </c>
      <c r="L110" s="156" t="s">
        <v>2168</v>
      </c>
      <c r="M110" s="156">
        <v>8</v>
      </c>
      <c r="N110" s="159">
        <v>1880000</v>
      </c>
      <c r="O110" s="160">
        <v>1</v>
      </c>
      <c r="P110" s="160">
        <v>1</v>
      </c>
      <c r="Q110" s="160">
        <v>0</v>
      </c>
      <c r="R110" s="159">
        <v>1</v>
      </c>
      <c r="S110" s="157"/>
      <c r="T110" s="157">
        <v>44286</v>
      </c>
      <c r="U110" s="161">
        <v>969375</v>
      </c>
      <c r="V110" s="158" t="s">
        <v>852</v>
      </c>
      <c r="W110" s="158" t="s">
        <v>627</v>
      </c>
      <c r="X110" s="158" t="s">
        <v>2169</v>
      </c>
      <c r="Y110" s="162" t="s">
        <v>2185</v>
      </c>
      <c r="Z110" s="163" t="s">
        <v>2191</v>
      </c>
      <c r="AA110" s="163">
        <v>1</v>
      </c>
      <c r="AB110" s="163">
        <v>1</v>
      </c>
      <c r="AC110" s="101">
        <v>1</v>
      </c>
      <c r="AD110" s="101">
        <v>1</v>
      </c>
      <c r="AE110" s="101" t="s">
        <v>2201</v>
      </c>
      <c r="AF110" s="102" t="str">
        <f>IF(ISERROR(VLOOKUP(AE110,小分類・セグメント!$A:$C,3,FALSE)),"",VLOOKUP(AE110,小分類・セグメント!$A:$C,3,FALSE))</f>
        <v>ECD</v>
      </c>
      <c r="AG110" s="103" t="str">
        <f>IF(ISERROR(VLOOKUP(AE110,小細分類・事業部マスタ!$E:$H,4,FALSE)),"",VLOOKUP(AE110,小細分類・事業部マスタ!$E:$H,4,FALSE))</f>
        <v>パワーデバイス事業部</v>
      </c>
      <c r="AH110" s="101" t="s">
        <v>2169</v>
      </c>
      <c r="AI110" s="104">
        <f>IF(ISERROR(VLOOKUP(AJ110,設置場所!$A:$B,2,FALSE)),"",VLOOKUP(AJ110,設置場所!$A:$B,2,FALSE))</f>
        <v>900000030</v>
      </c>
      <c r="AJ110" s="101" t="s">
        <v>2191</v>
      </c>
      <c r="AK110" s="101" t="s">
        <v>1331</v>
      </c>
      <c r="AL110" s="101" t="s">
        <v>1336</v>
      </c>
      <c r="AM110" s="101"/>
      <c r="AN110" s="101"/>
      <c r="AO110" s="101"/>
      <c r="AP110" s="101"/>
      <c r="AQ110" s="101"/>
      <c r="AR110" s="105"/>
      <c r="AS110" s="171"/>
    </row>
    <row r="111" spans="1:45">
      <c r="A111" s="131" t="s">
        <v>1224</v>
      </c>
      <c r="B111" s="156" t="s">
        <v>1337</v>
      </c>
      <c r="C111" s="156" t="s">
        <v>1321</v>
      </c>
      <c r="D111" s="156" t="s">
        <v>1458</v>
      </c>
      <c r="E111" s="156" t="s">
        <v>1635</v>
      </c>
      <c r="F111" s="156" t="s">
        <v>1784</v>
      </c>
      <c r="G111" s="157">
        <v>42794</v>
      </c>
      <c r="H111" s="158" t="s">
        <v>1918</v>
      </c>
      <c r="I111" s="158" t="s">
        <v>2043</v>
      </c>
      <c r="J111" s="156" t="s">
        <v>2142</v>
      </c>
      <c r="K111" s="156" t="s">
        <v>2157</v>
      </c>
      <c r="L111" s="156" t="s">
        <v>2168</v>
      </c>
      <c r="M111" s="156">
        <v>8</v>
      </c>
      <c r="N111" s="159">
        <v>12328866</v>
      </c>
      <c r="O111" s="160">
        <v>1</v>
      </c>
      <c r="P111" s="160">
        <v>1</v>
      </c>
      <c r="Q111" s="160">
        <v>0</v>
      </c>
      <c r="R111" s="159">
        <v>1</v>
      </c>
      <c r="S111" s="157"/>
      <c r="T111" s="157">
        <v>44286</v>
      </c>
      <c r="U111" s="161">
        <v>3738392</v>
      </c>
      <c r="V111" s="158" t="s">
        <v>852</v>
      </c>
      <c r="W111" s="158" t="s">
        <v>627</v>
      </c>
      <c r="X111" s="158" t="s">
        <v>2177</v>
      </c>
      <c r="Y111" s="162" t="s">
        <v>2185</v>
      </c>
      <c r="Z111" s="163" t="s">
        <v>2191</v>
      </c>
      <c r="AA111" s="163">
        <v>1</v>
      </c>
      <c r="AB111" s="163">
        <v>1</v>
      </c>
      <c r="AC111" s="101">
        <v>1</v>
      </c>
      <c r="AD111" s="101">
        <v>1</v>
      </c>
      <c r="AE111" s="101" t="s">
        <v>2201</v>
      </c>
      <c r="AF111" s="102" t="str">
        <f>IF(ISERROR(VLOOKUP(AE111,小分類・セグメント!$A:$C,3,FALSE)),"",VLOOKUP(AE111,小分類・セグメント!$A:$C,3,FALSE))</f>
        <v>ECD</v>
      </c>
      <c r="AG111" s="103" t="str">
        <f>IF(ISERROR(VLOOKUP(AE111,小細分類・事業部マスタ!$E:$H,4,FALSE)),"",VLOOKUP(AE111,小細分類・事業部マスタ!$E:$H,4,FALSE))</f>
        <v>パワーデバイス事業部</v>
      </c>
      <c r="AH111" s="101" t="s">
        <v>2177</v>
      </c>
      <c r="AI111" s="104">
        <f>IF(ISERROR(VLOOKUP(AJ111,設置場所!$A:$B,2,FALSE)),"",VLOOKUP(AJ111,設置場所!$A:$B,2,FALSE))</f>
        <v>900000030</v>
      </c>
      <c r="AJ111" s="101" t="s">
        <v>2191</v>
      </c>
      <c r="AK111" s="101" t="s">
        <v>1331</v>
      </c>
      <c r="AL111" s="101" t="s">
        <v>1336</v>
      </c>
      <c r="AM111" s="101"/>
      <c r="AN111" s="101"/>
      <c r="AO111" s="101"/>
      <c r="AP111" s="101"/>
      <c r="AQ111" s="101"/>
      <c r="AR111" s="105"/>
      <c r="AS111" s="171"/>
    </row>
    <row r="112" spans="1:45">
      <c r="A112" s="131" t="s">
        <v>1224</v>
      </c>
      <c r="B112" s="156" t="s">
        <v>1337</v>
      </c>
      <c r="C112" s="156" t="s">
        <v>1321</v>
      </c>
      <c r="D112" s="156" t="s">
        <v>1459</v>
      </c>
      <c r="E112" s="156"/>
      <c r="F112" s="156" t="s">
        <v>1785</v>
      </c>
      <c r="G112" s="157">
        <v>42872</v>
      </c>
      <c r="H112" s="158" t="s">
        <v>1929</v>
      </c>
      <c r="I112" s="158" t="s">
        <v>2044</v>
      </c>
      <c r="J112" s="156" t="s">
        <v>2139</v>
      </c>
      <c r="K112" s="156" t="s">
        <v>2154</v>
      </c>
      <c r="L112" s="156" t="s">
        <v>2168</v>
      </c>
      <c r="M112" s="156">
        <v>8</v>
      </c>
      <c r="N112" s="159">
        <v>571000</v>
      </c>
      <c r="O112" s="160">
        <v>1</v>
      </c>
      <c r="P112" s="160">
        <v>1</v>
      </c>
      <c r="Q112" s="160">
        <v>0</v>
      </c>
      <c r="R112" s="159">
        <v>1</v>
      </c>
      <c r="S112" s="157"/>
      <c r="T112" s="157">
        <v>44286</v>
      </c>
      <c r="U112" s="161">
        <v>185687</v>
      </c>
      <c r="V112" s="158" t="s">
        <v>852</v>
      </c>
      <c r="W112" s="158" t="s">
        <v>627</v>
      </c>
      <c r="X112" s="158" t="s">
        <v>2178</v>
      </c>
      <c r="Y112" s="162" t="s">
        <v>2185</v>
      </c>
      <c r="Z112" s="163" t="s">
        <v>2191</v>
      </c>
      <c r="AA112" s="163">
        <v>1</v>
      </c>
      <c r="AB112" s="163">
        <v>1</v>
      </c>
      <c r="AC112" s="101">
        <v>1</v>
      </c>
      <c r="AD112" s="101">
        <v>1</v>
      </c>
      <c r="AE112" s="101" t="s">
        <v>2201</v>
      </c>
      <c r="AF112" s="102" t="str">
        <f>IF(ISERROR(VLOOKUP(AE112,小分類・セグメント!$A:$C,3,FALSE)),"",VLOOKUP(AE112,小分類・セグメント!$A:$C,3,FALSE))</f>
        <v>ECD</v>
      </c>
      <c r="AG112" s="103" t="str">
        <f>IF(ISERROR(VLOOKUP(AE112,小細分類・事業部マスタ!$E:$H,4,FALSE)),"",VLOOKUP(AE112,小細分類・事業部マスタ!$E:$H,4,FALSE))</f>
        <v>パワーデバイス事業部</v>
      </c>
      <c r="AH112" s="101" t="s">
        <v>2178</v>
      </c>
      <c r="AI112" s="104">
        <f>IF(ISERROR(VLOOKUP(AJ112,設置場所!$A:$B,2,FALSE)),"",VLOOKUP(AJ112,設置場所!$A:$B,2,FALSE))</f>
        <v>900000030</v>
      </c>
      <c r="AJ112" s="101" t="s">
        <v>2191</v>
      </c>
      <c r="AK112" s="101" t="s">
        <v>1331</v>
      </c>
      <c r="AL112" s="101" t="s">
        <v>1336</v>
      </c>
      <c r="AM112" s="101"/>
      <c r="AN112" s="101"/>
      <c r="AO112" s="101"/>
      <c r="AP112" s="101"/>
      <c r="AQ112" s="101"/>
      <c r="AR112" s="105"/>
      <c r="AS112" s="171"/>
    </row>
    <row r="113" spans="1:45">
      <c r="A113" s="131" t="s">
        <v>1224</v>
      </c>
      <c r="B113" s="156" t="s">
        <v>1337</v>
      </c>
      <c r="C113" s="156" t="s">
        <v>1321</v>
      </c>
      <c r="D113" s="156" t="s">
        <v>1460</v>
      </c>
      <c r="E113" s="156"/>
      <c r="F113" s="156" t="s">
        <v>1786</v>
      </c>
      <c r="G113" s="157">
        <v>42950</v>
      </c>
      <c r="H113" s="158" t="s">
        <v>1922</v>
      </c>
      <c r="I113" s="158" t="s">
        <v>2045</v>
      </c>
      <c r="J113" s="156" t="s">
        <v>2145</v>
      </c>
      <c r="K113" s="156" t="s">
        <v>2160</v>
      </c>
      <c r="L113" s="156" t="s">
        <v>2168</v>
      </c>
      <c r="M113" s="156">
        <v>8</v>
      </c>
      <c r="N113" s="159">
        <v>250000</v>
      </c>
      <c r="O113" s="160">
        <v>1</v>
      </c>
      <c r="P113" s="160">
        <v>1</v>
      </c>
      <c r="Q113" s="160">
        <v>0</v>
      </c>
      <c r="R113" s="159">
        <v>1</v>
      </c>
      <c r="S113" s="157"/>
      <c r="T113" s="157">
        <v>44286</v>
      </c>
      <c r="U113" s="161">
        <v>87891</v>
      </c>
      <c r="V113" s="158" t="s">
        <v>852</v>
      </c>
      <c r="W113" s="158" t="s">
        <v>627</v>
      </c>
      <c r="X113" s="158" t="s">
        <v>2169</v>
      </c>
      <c r="Y113" s="162" t="s">
        <v>2185</v>
      </c>
      <c r="Z113" s="163" t="s">
        <v>2191</v>
      </c>
      <c r="AA113" s="163">
        <v>1</v>
      </c>
      <c r="AB113" s="163">
        <v>1</v>
      </c>
      <c r="AC113" s="101">
        <v>1</v>
      </c>
      <c r="AD113" s="101">
        <v>1</v>
      </c>
      <c r="AE113" s="101" t="s">
        <v>2201</v>
      </c>
      <c r="AF113" s="102" t="str">
        <f>IF(ISERROR(VLOOKUP(AE113,小分類・セグメント!$A:$C,3,FALSE)),"",VLOOKUP(AE113,小分類・セグメント!$A:$C,3,FALSE))</f>
        <v>ECD</v>
      </c>
      <c r="AG113" s="103" t="str">
        <f>IF(ISERROR(VLOOKUP(AE113,小細分類・事業部マスタ!$E:$H,4,FALSE)),"",VLOOKUP(AE113,小細分類・事業部マスタ!$E:$H,4,FALSE))</f>
        <v>パワーデバイス事業部</v>
      </c>
      <c r="AH113" s="101" t="s">
        <v>2169</v>
      </c>
      <c r="AI113" s="104">
        <f>IF(ISERROR(VLOOKUP(AJ113,設置場所!$A:$B,2,FALSE)),"",VLOOKUP(AJ113,設置場所!$A:$B,2,FALSE))</f>
        <v>900000030</v>
      </c>
      <c r="AJ113" s="101" t="s">
        <v>2191</v>
      </c>
      <c r="AK113" s="101" t="s">
        <v>1331</v>
      </c>
      <c r="AL113" s="101" t="s">
        <v>1336</v>
      </c>
      <c r="AM113" s="101"/>
      <c r="AN113" s="101"/>
      <c r="AO113" s="101"/>
      <c r="AP113" s="101"/>
      <c r="AQ113" s="101"/>
      <c r="AR113" s="105"/>
      <c r="AS113" s="171"/>
    </row>
    <row r="114" spans="1:45">
      <c r="A114" s="131" t="s">
        <v>1224</v>
      </c>
      <c r="B114" s="156" t="s">
        <v>1337</v>
      </c>
      <c r="C114" s="156" t="s">
        <v>1321</v>
      </c>
      <c r="D114" s="156" t="s">
        <v>1461</v>
      </c>
      <c r="E114" s="156"/>
      <c r="F114" s="156" t="s">
        <v>1787</v>
      </c>
      <c r="G114" s="157">
        <v>42950</v>
      </c>
      <c r="H114" s="158" t="s">
        <v>1922</v>
      </c>
      <c r="I114" s="158" t="s">
        <v>2045</v>
      </c>
      <c r="J114" s="156" t="s">
        <v>2145</v>
      </c>
      <c r="K114" s="156" t="s">
        <v>2160</v>
      </c>
      <c r="L114" s="156" t="s">
        <v>2168</v>
      </c>
      <c r="M114" s="156">
        <v>8</v>
      </c>
      <c r="N114" s="159">
        <v>250000</v>
      </c>
      <c r="O114" s="160">
        <v>1</v>
      </c>
      <c r="P114" s="160">
        <v>1</v>
      </c>
      <c r="Q114" s="160">
        <v>0</v>
      </c>
      <c r="R114" s="159">
        <v>1</v>
      </c>
      <c r="S114" s="157"/>
      <c r="T114" s="157">
        <v>44286</v>
      </c>
      <c r="U114" s="161">
        <v>87891</v>
      </c>
      <c r="V114" s="158" t="s">
        <v>852</v>
      </c>
      <c r="W114" s="158" t="s">
        <v>627</v>
      </c>
      <c r="X114" s="158" t="s">
        <v>2169</v>
      </c>
      <c r="Y114" s="162" t="s">
        <v>2185</v>
      </c>
      <c r="Z114" s="163" t="s">
        <v>2191</v>
      </c>
      <c r="AA114" s="163">
        <v>1</v>
      </c>
      <c r="AB114" s="163">
        <v>1</v>
      </c>
      <c r="AC114" s="101">
        <v>1</v>
      </c>
      <c r="AD114" s="101">
        <v>1</v>
      </c>
      <c r="AE114" s="101" t="s">
        <v>2201</v>
      </c>
      <c r="AF114" s="102" t="str">
        <f>IF(ISERROR(VLOOKUP(AE114,小分類・セグメント!$A:$C,3,FALSE)),"",VLOOKUP(AE114,小分類・セグメント!$A:$C,3,FALSE))</f>
        <v>ECD</v>
      </c>
      <c r="AG114" s="103" t="str">
        <f>IF(ISERROR(VLOOKUP(AE114,小細分類・事業部マスタ!$E:$H,4,FALSE)),"",VLOOKUP(AE114,小細分類・事業部マスタ!$E:$H,4,FALSE))</f>
        <v>パワーデバイス事業部</v>
      </c>
      <c r="AH114" s="101" t="s">
        <v>2169</v>
      </c>
      <c r="AI114" s="104">
        <f>IF(ISERROR(VLOOKUP(AJ114,設置場所!$A:$B,2,FALSE)),"",VLOOKUP(AJ114,設置場所!$A:$B,2,FALSE))</f>
        <v>900000030</v>
      </c>
      <c r="AJ114" s="101" t="s">
        <v>2191</v>
      </c>
      <c r="AK114" s="101" t="s">
        <v>1331</v>
      </c>
      <c r="AL114" s="101" t="s">
        <v>1336</v>
      </c>
      <c r="AM114" s="101"/>
      <c r="AN114" s="101"/>
      <c r="AO114" s="101"/>
      <c r="AP114" s="101"/>
      <c r="AQ114" s="101"/>
      <c r="AR114" s="105"/>
      <c r="AS114" s="171"/>
    </row>
    <row r="115" spans="1:45">
      <c r="A115" s="131" t="s">
        <v>1224</v>
      </c>
      <c r="B115" s="156" t="s">
        <v>1337</v>
      </c>
      <c r="C115" s="156" t="s">
        <v>1321</v>
      </c>
      <c r="D115" s="156" t="s">
        <v>1462</v>
      </c>
      <c r="E115" s="156"/>
      <c r="F115" s="156" t="s">
        <v>1788</v>
      </c>
      <c r="G115" s="157">
        <v>42950</v>
      </c>
      <c r="H115" s="158" t="s">
        <v>1922</v>
      </c>
      <c r="I115" s="158" t="s">
        <v>2045</v>
      </c>
      <c r="J115" s="156" t="s">
        <v>2145</v>
      </c>
      <c r="K115" s="156" t="s">
        <v>2160</v>
      </c>
      <c r="L115" s="156" t="s">
        <v>2168</v>
      </c>
      <c r="M115" s="156">
        <v>8</v>
      </c>
      <c r="N115" s="159">
        <v>250000</v>
      </c>
      <c r="O115" s="160">
        <v>1</v>
      </c>
      <c r="P115" s="160">
        <v>1</v>
      </c>
      <c r="Q115" s="160">
        <v>0</v>
      </c>
      <c r="R115" s="159">
        <v>1</v>
      </c>
      <c r="S115" s="157"/>
      <c r="T115" s="157">
        <v>44286</v>
      </c>
      <c r="U115" s="161">
        <v>87891</v>
      </c>
      <c r="V115" s="158" t="s">
        <v>852</v>
      </c>
      <c r="W115" s="158" t="s">
        <v>627</v>
      </c>
      <c r="X115" s="158" t="s">
        <v>2169</v>
      </c>
      <c r="Y115" s="162" t="s">
        <v>2185</v>
      </c>
      <c r="Z115" s="163" t="s">
        <v>2191</v>
      </c>
      <c r="AA115" s="163">
        <v>1</v>
      </c>
      <c r="AB115" s="163">
        <v>1</v>
      </c>
      <c r="AC115" s="101">
        <v>1</v>
      </c>
      <c r="AD115" s="101">
        <v>1</v>
      </c>
      <c r="AE115" s="101" t="s">
        <v>2201</v>
      </c>
      <c r="AF115" s="102" t="str">
        <f>IF(ISERROR(VLOOKUP(AE115,小分類・セグメント!$A:$C,3,FALSE)),"",VLOOKUP(AE115,小分類・セグメント!$A:$C,3,FALSE))</f>
        <v>ECD</v>
      </c>
      <c r="AG115" s="103" t="str">
        <f>IF(ISERROR(VLOOKUP(AE115,小細分類・事業部マスタ!$E:$H,4,FALSE)),"",VLOOKUP(AE115,小細分類・事業部マスタ!$E:$H,4,FALSE))</f>
        <v>パワーデバイス事業部</v>
      </c>
      <c r="AH115" s="101" t="s">
        <v>2169</v>
      </c>
      <c r="AI115" s="104">
        <f>IF(ISERROR(VLOOKUP(AJ115,設置場所!$A:$B,2,FALSE)),"",VLOOKUP(AJ115,設置場所!$A:$B,2,FALSE))</f>
        <v>900000030</v>
      </c>
      <c r="AJ115" s="101" t="s">
        <v>2191</v>
      </c>
      <c r="AK115" s="101" t="s">
        <v>1331</v>
      </c>
      <c r="AL115" s="101" t="s">
        <v>1336</v>
      </c>
      <c r="AM115" s="101"/>
      <c r="AN115" s="101"/>
      <c r="AO115" s="101"/>
      <c r="AP115" s="101"/>
      <c r="AQ115" s="101"/>
      <c r="AR115" s="105"/>
      <c r="AS115" s="171"/>
    </row>
    <row r="116" spans="1:45">
      <c r="A116" s="131" t="s">
        <v>1224</v>
      </c>
      <c r="B116" s="156" t="s">
        <v>1337</v>
      </c>
      <c r="C116" s="156" t="s">
        <v>1321</v>
      </c>
      <c r="D116" s="156" t="s">
        <v>1463</v>
      </c>
      <c r="E116" s="156"/>
      <c r="F116" s="156" t="s">
        <v>1789</v>
      </c>
      <c r="G116" s="157">
        <v>42950</v>
      </c>
      <c r="H116" s="158" t="s">
        <v>1922</v>
      </c>
      <c r="I116" s="158" t="s">
        <v>2045</v>
      </c>
      <c r="J116" s="156" t="s">
        <v>2145</v>
      </c>
      <c r="K116" s="156" t="s">
        <v>2160</v>
      </c>
      <c r="L116" s="156" t="s">
        <v>2168</v>
      </c>
      <c r="M116" s="156">
        <v>8</v>
      </c>
      <c r="N116" s="159">
        <v>250000</v>
      </c>
      <c r="O116" s="160">
        <v>1</v>
      </c>
      <c r="P116" s="160">
        <v>1</v>
      </c>
      <c r="Q116" s="160">
        <v>0</v>
      </c>
      <c r="R116" s="159">
        <v>1</v>
      </c>
      <c r="S116" s="157"/>
      <c r="T116" s="157">
        <v>44286</v>
      </c>
      <c r="U116" s="161">
        <v>87891</v>
      </c>
      <c r="V116" s="158" t="s">
        <v>852</v>
      </c>
      <c r="W116" s="158" t="s">
        <v>627</v>
      </c>
      <c r="X116" s="158" t="s">
        <v>2169</v>
      </c>
      <c r="Y116" s="162" t="s">
        <v>2185</v>
      </c>
      <c r="Z116" s="163" t="s">
        <v>2191</v>
      </c>
      <c r="AA116" s="163">
        <v>1</v>
      </c>
      <c r="AB116" s="163">
        <v>1</v>
      </c>
      <c r="AC116" s="101">
        <v>1</v>
      </c>
      <c r="AD116" s="101">
        <v>1</v>
      </c>
      <c r="AE116" s="101" t="s">
        <v>2201</v>
      </c>
      <c r="AF116" s="102" t="str">
        <f>IF(ISERROR(VLOOKUP(AE116,小分類・セグメント!$A:$C,3,FALSE)),"",VLOOKUP(AE116,小分類・セグメント!$A:$C,3,FALSE))</f>
        <v>ECD</v>
      </c>
      <c r="AG116" s="103" t="str">
        <f>IF(ISERROR(VLOOKUP(AE116,小細分類・事業部マスタ!$E:$H,4,FALSE)),"",VLOOKUP(AE116,小細分類・事業部マスタ!$E:$H,4,FALSE))</f>
        <v>パワーデバイス事業部</v>
      </c>
      <c r="AH116" s="101" t="s">
        <v>2169</v>
      </c>
      <c r="AI116" s="104">
        <f>IF(ISERROR(VLOOKUP(AJ116,設置場所!$A:$B,2,FALSE)),"",VLOOKUP(AJ116,設置場所!$A:$B,2,FALSE))</f>
        <v>900000030</v>
      </c>
      <c r="AJ116" s="101" t="s">
        <v>2191</v>
      </c>
      <c r="AK116" s="101" t="s">
        <v>1331</v>
      </c>
      <c r="AL116" s="101" t="s">
        <v>1336</v>
      </c>
      <c r="AM116" s="101"/>
      <c r="AN116" s="101"/>
      <c r="AO116" s="101"/>
      <c r="AP116" s="101"/>
      <c r="AQ116" s="101"/>
      <c r="AR116" s="105"/>
      <c r="AS116" s="171"/>
    </row>
    <row r="117" spans="1:45">
      <c r="A117" s="131" t="s">
        <v>1224</v>
      </c>
      <c r="B117" s="156" t="s">
        <v>1337</v>
      </c>
      <c r="C117" s="156" t="s">
        <v>1321</v>
      </c>
      <c r="D117" s="156" t="s">
        <v>1464</v>
      </c>
      <c r="E117" s="156"/>
      <c r="F117" s="156" t="s">
        <v>1790</v>
      </c>
      <c r="G117" s="157">
        <v>42968</v>
      </c>
      <c r="H117" s="158" t="s">
        <v>1914</v>
      </c>
      <c r="I117" s="158" t="s">
        <v>2046</v>
      </c>
      <c r="J117" s="156" t="s">
        <v>2144</v>
      </c>
      <c r="K117" s="156" t="s">
        <v>2159</v>
      </c>
      <c r="L117" s="156" t="s">
        <v>2168</v>
      </c>
      <c r="M117" s="156">
        <v>8</v>
      </c>
      <c r="N117" s="159">
        <v>469000</v>
      </c>
      <c r="O117" s="160">
        <v>1</v>
      </c>
      <c r="P117" s="160">
        <v>1</v>
      </c>
      <c r="Q117" s="160">
        <v>0</v>
      </c>
      <c r="R117" s="159">
        <v>1</v>
      </c>
      <c r="S117" s="157"/>
      <c r="T117" s="157">
        <v>44286</v>
      </c>
      <c r="U117" s="161">
        <v>164883</v>
      </c>
      <c r="V117" s="158" t="s">
        <v>852</v>
      </c>
      <c r="W117" s="158" t="s">
        <v>627</v>
      </c>
      <c r="X117" s="158" t="s">
        <v>2169</v>
      </c>
      <c r="Y117" s="162" t="s">
        <v>2185</v>
      </c>
      <c r="Z117" s="163" t="s">
        <v>2191</v>
      </c>
      <c r="AA117" s="163">
        <v>1</v>
      </c>
      <c r="AB117" s="163">
        <v>1</v>
      </c>
      <c r="AC117" s="101">
        <v>1</v>
      </c>
      <c r="AD117" s="101">
        <v>1</v>
      </c>
      <c r="AE117" s="101" t="s">
        <v>2201</v>
      </c>
      <c r="AF117" s="102" t="str">
        <f>IF(ISERROR(VLOOKUP(AE117,小分類・セグメント!$A:$C,3,FALSE)),"",VLOOKUP(AE117,小分類・セグメント!$A:$C,3,FALSE))</f>
        <v>ECD</v>
      </c>
      <c r="AG117" s="103" t="str">
        <f>IF(ISERROR(VLOOKUP(AE117,小細分類・事業部マスタ!$E:$H,4,FALSE)),"",VLOOKUP(AE117,小細分類・事業部マスタ!$E:$H,4,FALSE))</f>
        <v>パワーデバイス事業部</v>
      </c>
      <c r="AH117" s="101" t="s">
        <v>2169</v>
      </c>
      <c r="AI117" s="104">
        <f>IF(ISERROR(VLOOKUP(AJ117,設置場所!$A:$B,2,FALSE)),"",VLOOKUP(AJ117,設置場所!$A:$B,2,FALSE))</f>
        <v>900000030</v>
      </c>
      <c r="AJ117" s="101" t="s">
        <v>2191</v>
      </c>
      <c r="AK117" s="101" t="s">
        <v>1331</v>
      </c>
      <c r="AL117" s="101" t="s">
        <v>1336</v>
      </c>
      <c r="AM117" s="101"/>
      <c r="AN117" s="101"/>
      <c r="AO117" s="101"/>
      <c r="AP117" s="101"/>
      <c r="AQ117" s="101"/>
      <c r="AR117" s="105"/>
      <c r="AS117" s="171"/>
    </row>
    <row r="118" spans="1:45">
      <c r="A118" s="131" t="s">
        <v>1224</v>
      </c>
      <c r="B118" s="156" t="s">
        <v>1337</v>
      </c>
      <c r="C118" s="156" t="s">
        <v>1321</v>
      </c>
      <c r="D118" s="156" t="s">
        <v>1465</v>
      </c>
      <c r="E118" s="156"/>
      <c r="F118" s="156" t="s">
        <v>1791</v>
      </c>
      <c r="G118" s="157">
        <v>42968</v>
      </c>
      <c r="H118" s="158" t="s">
        <v>1914</v>
      </c>
      <c r="I118" s="158" t="s">
        <v>2046</v>
      </c>
      <c r="J118" s="156" t="s">
        <v>2144</v>
      </c>
      <c r="K118" s="156" t="s">
        <v>2159</v>
      </c>
      <c r="L118" s="156" t="s">
        <v>2168</v>
      </c>
      <c r="M118" s="156">
        <v>8</v>
      </c>
      <c r="N118" s="159">
        <v>469000</v>
      </c>
      <c r="O118" s="160">
        <v>1</v>
      </c>
      <c r="P118" s="160">
        <v>1</v>
      </c>
      <c r="Q118" s="160">
        <v>0</v>
      </c>
      <c r="R118" s="159">
        <v>1</v>
      </c>
      <c r="S118" s="157"/>
      <c r="T118" s="157">
        <v>44286</v>
      </c>
      <c r="U118" s="161">
        <v>164883</v>
      </c>
      <c r="V118" s="158" t="s">
        <v>852</v>
      </c>
      <c r="W118" s="158" t="s">
        <v>627</v>
      </c>
      <c r="X118" s="158" t="s">
        <v>2169</v>
      </c>
      <c r="Y118" s="162" t="s">
        <v>2185</v>
      </c>
      <c r="Z118" s="163" t="s">
        <v>2191</v>
      </c>
      <c r="AA118" s="163">
        <v>1</v>
      </c>
      <c r="AB118" s="163">
        <v>1</v>
      </c>
      <c r="AC118" s="101">
        <v>1</v>
      </c>
      <c r="AD118" s="101">
        <v>1</v>
      </c>
      <c r="AE118" s="101" t="s">
        <v>2201</v>
      </c>
      <c r="AF118" s="102" t="str">
        <f>IF(ISERROR(VLOOKUP(AE118,小分類・セグメント!$A:$C,3,FALSE)),"",VLOOKUP(AE118,小分類・セグメント!$A:$C,3,FALSE))</f>
        <v>ECD</v>
      </c>
      <c r="AG118" s="103" t="str">
        <f>IF(ISERROR(VLOOKUP(AE118,小細分類・事業部マスタ!$E:$H,4,FALSE)),"",VLOOKUP(AE118,小細分類・事業部マスタ!$E:$H,4,FALSE))</f>
        <v>パワーデバイス事業部</v>
      </c>
      <c r="AH118" s="101" t="s">
        <v>2169</v>
      </c>
      <c r="AI118" s="104">
        <f>IF(ISERROR(VLOOKUP(AJ118,設置場所!$A:$B,2,FALSE)),"",VLOOKUP(AJ118,設置場所!$A:$B,2,FALSE))</f>
        <v>900000030</v>
      </c>
      <c r="AJ118" s="101" t="s">
        <v>2191</v>
      </c>
      <c r="AK118" s="101" t="s">
        <v>1331</v>
      </c>
      <c r="AL118" s="101" t="s">
        <v>1336</v>
      </c>
      <c r="AM118" s="101"/>
      <c r="AN118" s="101"/>
      <c r="AO118" s="101"/>
      <c r="AP118" s="101"/>
      <c r="AQ118" s="101"/>
      <c r="AR118" s="105"/>
      <c r="AS118" s="171"/>
    </row>
    <row r="119" spans="1:45">
      <c r="A119" s="131" t="s">
        <v>1224</v>
      </c>
      <c r="B119" s="156" t="s">
        <v>1337</v>
      </c>
      <c r="C119" s="156" t="s">
        <v>1321</v>
      </c>
      <c r="D119" s="156" t="s">
        <v>1466</v>
      </c>
      <c r="E119" s="156"/>
      <c r="F119" s="156" t="s">
        <v>1792</v>
      </c>
      <c r="G119" s="157">
        <v>42968</v>
      </c>
      <c r="H119" s="158" t="s">
        <v>1914</v>
      </c>
      <c r="I119" s="158" t="s">
        <v>2046</v>
      </c>
      <c r="J119" s="156" t="s">
        <v>2144</v>
      </c>
      <c r="K119" s="156" t="s">
        <v>2159</v>
      </c>
      <c r="L119" s="156" t="s">
        <v>2168</v>
      </c>
      <c r="M119" s="156">
        <v>8</v>
      </c>
      <c r="N119" s="159">
        <v>469000</v>
      </c>
      <c r="O119" s="160">
        <v>1</v>
      </c>
      <c r="P119" s="160">
        <v>1</v>
      </c>
      <c r="Q119" s="160">
        <v>0</v>
      </c>
      <c r="R119" s="159">
        <v>1</v>
      </c>
      <c r="S119" s="157"/>
      <c r="T119" s="157">
        <v>44286</v>
      </c>
      <c r="U119" s="161">
        <v>164883</v>
      </c>
      <c r="V119" s="158" t="s">
        <v>852</v>
      </c>
      <c r="W119" s="158" t="s">
        <v>627</v>
      </c>
      <c r="X119" s="158" t="s">
        <v>2169</v>
      </c>
      <c r="Y119" s="162" t="s">
        <v>2185</v>
      </c>
      <c r="Z119" s="163" t="s">
        <v>2191</v>
      </c>
      <c r="AA119" s="163">
        <v>1</v>
      </c>
      <c r="AB119" s="163">
        <v>1</v>
      </c>
      <c r="AC119" s="101">
        <v>1</v>
      </c>
      <c r="AD119" s="101">
        <v>1</v>
      </c>
      <c r="AE119" s="101" t="s">
        <v>2201</v>
      </c>
      <c r="AF119" s="102" t="str">
        <f>IF(ISERROR(VLOOKUP(AE119,小分類・セグメント!$A:$C,3,FALSE)),"",VLOOKUP(AE119,小分類・セグメント!$A:$C,3,FALSE))</f>
        <v>ECD</v>
      </c>
      <c r="AG119" s="103" t="str">
        <f>IF(ISERROR(VLOOKUP(AE119,小細分類・事業部マスタ!$E:$H,4,FALSE)),"",VLOOKUP(AE119,小細分類・事業部マスタ!$E:$H,4,FALSE))</f>
        <v>パワーデバイス事業部</v>
      </c>
      <c r="AH119" s="101" t="s">
        <v>2169</v>
      </c>
      <c r="AI119" s="104">
        <f>IF(ISERROR(VLOOKUP(AJ119,設置場所!$A:$B,2,FALSE)),"",VLOOKUP(AJ119,設置場所!$A:$B,2,FALSE))</f>
        <v>900000030</v>
      </c>
      <c r="AJ119" s="101" t="s">
        <v>2191</v>
      </c>
      <c r="AK119" s="101" t="s">
        <v>1331</v>
      </c>
      <c r="AL119" s="101" t="s">
        <v>1336</v>
      </c>
      <c r="AM119" s="101"/>
      <c r="AN119" s="101"/>
      <c r="AO119" s="101"/>
      <c r="AP119" s="101"/>
      <c r="AQ119" s="101"/>
      <c r="AR119" s="105"/>
      <c r="AS119" s="171"/>
    </row>
    <row r="120" spans="1:45">
      <c r="A120" s="131" t="s">
        <v>1224</v>
      </c>
      <c r="B120" s="156" t="s">
        <v>1337</v>
      </c>
      <c r="C120" s="156" t="s">
        <v>1321</v>
      </c>
      <c r="D120" s="156" t="s">
        <v>1467</v>
      </c>
      <c r="E120" s="156"/>
      <c r="F120" s="156" t="s">
        <v>1793</v>
      </c>
      <c r="G120" s="157">
        <v>42996</v>
      </c>
      <c r="H120" s="158" t="s">
        <v>1927</v>
      </c>
      <c r="I120" s="158" t="s">
        <v>2047</v>
      </c>
      <c r="J120" s="156" t="s">
        <v>2145</v>
      </c>
      <c r="K120" s="156" t="s">
        <v>2160</v>
      </c>
      <c r="L120" s="156" t="s">
        <v>2168</v>
      </c>
      <c r="M120" s="156">
        <v>8</v>
      </c>
      <c r="N120" s="159">
        <v>4987500</v>
      </c>
      <c r="O120" s="160">
        <v>1</v>
      </c>
      <c r="P120" s="160">
        <v>1</v>
      </c>
      <c r="Q120" s="160">
        <v>0</v>
      </c>
      <c r="R120" s="159">
        <v>1</v>
      </c>
      <c r="S120" s="157"/>
      <c r="T120" s="157">
        <v>44286</v>
      </c>
      <c r="U120" s="161">
        <v>1797254</v>
      </c>
      <c r="V120" s="158" t="s">
        <v>852</v>
      </c>
      <c r="W120" s="158" t="s">
        <v>627</v>
      </c>
      <c r="X120" s="158" t="s">
        <v>2169</v>
      </c>
      <c r="Y120" s="162" t="s">
        <v>2185</v>
      </c>
      <c r="Z120" s="163" t="s">
        <v>2191</v>
      </c>
      <c r="AA120" s="163">
        <v>1</v>
      </c>
      <c r="AB120" s="163">
        <v>1</v>
      </c>
      <c r="AC120" s="101">
        <v>1</v>
      </c>
      <c r="AD120" s="101">
        <v>1</v>
      </c>
      <c r="AE120" s="101" t="s">
        <v>2201</v>
      </c>
      <c r="AF120" s="102" t="str">
        <f>IF(ISERROR(VLOOKUP(AE120,小分類・セグメント!$A:$C,3,FALSE)),"",VLOOKUP(AE120,小分類・セグメント!$A:$C,3,FALSE))</f>
        <v>ECD</v>
      </c>
      <c r="AG120" s="103" t="str">
        <f>IF(ISERROR(VLOOKUP(AE120,小細分類・事業部マスタ!$E:$H,4,FALSE)),"",VLOOKUP(AE120,小細分類・事業部マスタ!$E:$H,4,FALSE))</f>
        <v>パワーデバイス事業部</v>
      </c>
      <c r="AH120" s="101" t="s">
        <v>2169</v>
      </c>
      <c r="AI120" s="104">
        <f>IF(ISERROR(VLOOKUP(AJ120,設置場所!$A:$B,2,FALSE)),"",VLOOKUP(AJ120,設置場所!$A:$B,2,FALSE))</f>
        <v>900000030</v>
      </c>
      <c r="AJ120" s="101" t="s">
        <v>2191</v>
      </c>
      <c r="AK120" s="101" t="s">
        <v>1331</v>
      </c>
      <c r="AL120" s="101" t="s">
        <v>1336</v>
      </c>
      <c r="AM120" s="101"/>
      <c r="AN120" s="101"/>
      <c r="AO120" s="101"/>
      <c r="AP120" s="101"/>
      <c r="AQ120" s="101"/>
      <c r="AR120" s="105"/>
      <c r="AS120" s="171"/>
    </row>
    <row r="121" spans="1:45">
      <c r="A121" s="131" t="s">
        <v>1224</v>
      </c>
      <c r="B121" s="156" t="s">
        <v>1337</v>
      </c>
      <c r="C121" s="156" t="s">
        <v>1321</v>
      </c>
      <c r="D121" s="156" t="s">
        <v>1468</v>
      </c>
      <c r="E121" s="156"/>
      <c r="F121" s="156" t="s">
        <v>1794</v>
      </c>
      <c r="G121" s="157">
        <v>43609</v>
      </c>
      <c r="H121" s="158" t="s">
        <v>1927</v>
      </c>
      <c r="I121" s="158" t="s">
        <v>2048</v>
      </c>
      <c r="J121" s="156" t="s">
        <v>2145</v>
      </c>
      <c r="K121" s="156" t="s">
        <v>2160</v>
      </c>
      <c r="L121" s="156" t="s">
        <v>2168</v>
      </c>
      <c r="M121" s="156">
        <v>8</v>
      </c>
      <c r="N121" s="159">
        <v>490700</v>
      </c>
      <c r="O121" s="160">
        <v>1</v>
      </c>
      <c r="P121" s="160">
        <v>1</v>
      </c>
      <c r="Q121" s="160">
        <v>0</v>
      </c>
      <c r="R121" s="159">
        <v>1</v>
      </c>
      <c r="S121" s="157"/>
      <c r="T121" s="157">
        <v>44286</v>
      </c>
      <c r="U121" s="161">
        <v>283685</v>
      </c>
      <c r="V121" s="158" t="s">
        <v>852</v>
      </c>
      <c r="W121" s="158" t="s">
        <v>627</v>
      </c>
      <c r="X121" s="158" t="s">
        <v>2169</v>
      </c>
      <c r="Y121" s="162" t="s">
        <v>2185</v>
      </c>
      <c r="Z121" s="163" t="s">
        <v>2191</v>
      </c>
      <c r="AA121" s="163">
        <v>1</v>
      </c>
      <c r="AB121" s="163">
        <v>1</v>
      </c>
      <c r="AC121" s="101">
        <v>1</v>
      </c>
      <c r="AD121" s="101">
        <v>1</v>
      </c>
      <c r="AE121" s="101" t="s">
        <v>2201</v>
      </c>
      <c r="AF121" s="102" t="str">
        <f>IF(ISERROR(VLOOKUP(AE121,小分類・セグメント!$A:$C,3,FALSE)),"",VLOOKUP(AE121,小分類・セグメント!$A:$C,3,FALSE))</f>
        <v>ECD</v>
      </c>
      <c r="AG121" s="103" t="str">
        <f>IF(ISERROR(VLOOKUP(AE121,小細分類・事業部マスタ!$E:$H,4,FALSE)),"",VLOOKUP(AE121,小細分類・事業部マスタ!$E:$H,4,FALSE))</f>
        <v>パワーデバイス事業部</v>
      </c>
      <c r="AH121" s="101" t="s">
        <v>2169</v>
      </c>
      <c r="AI121" s="104">
        <f>IF(ISERROR(VLOOKUP(AJ121,設置場所!$A:$B,2,FALSE)),"",VLOOKUP(AJ121,設置場所!$A:$B,2,FALSE))</f>
        <v>900000030</v>
      </c>
      <c r="AJ121" s="101" t="s">
        <v>2191</v>
      </c>
      <c r="AK121" s="101" t="s">
        <v>1331</v>
      </c>
      <c r="AL121" s="101" t="s">
        <v>1336</v>
      </c>
      <c r="AM121" s="101"/>
      <c r="AN121" s="101"/>
      <c r="AO121" s="101"/>
      <c r="AP121" s="101"/>
      <c r="AQ121" s="101"/>
      <c r="AR121" s="105"/>
      <c r="AS121" s="171"/>
    </row>
    <row r="122" spans="1:45">
      <c r="A122" s="131" t="s">
        <v>1224</v>
      </c>
      <c r="B122" s="156" t="s">
        <v>1337</v>
      </c>
      <c r="C122" s="156" t="s">
        <v>1321</v>
      </c>
      <c r="D122" s="156" t="s">
        <v>1469</v>
      </c>
      <c r="E122" s="156"/>
      <c r="F122" s="156" t="s">
        <v>1795</v>
      </c>
      <c r="G122" s="157">
        <v>43005</v>
      </c>
      <c r="H122" s="158" t="s">
        <v>1922</v>
      </c>
      <c r="I122" s="158" t="s">
        <v>2049</v>
      </c>
      <c r="J122" s="156" t="s">
        <v>2142</v>
      </c>
      <c r="K122" s="156" t="s">
        <v>2157</v>
      </c>
      <c r="L122" s="156" t="s">
        <v>2168</v>
      </c>
      <c r="M122" s="156">
        <v>8</v>
      </c>
      <c r="N122" s="159">
        <v>3270000</v>
      </c>
      <c r="O122" s="160">
        <v>1</v>
      </c>
      <c r="P122" s="160">
        <v>1</v>
      </c>
      <c r="Q122" s="160">
        <v>0</v>
      </c>
      <c r="R122" s="159">
        <v>1</v>
      </c>
      <c r="S122" s="157"/>
      <c r="T122" s="157">
        <v>44286</v>
      </c>
      <c r="U122" s="161">
        <v>1178349</v>
      </c>
      <c r="V122" s="158" t="s">
        <v>852</v>
      </c>
      <c r="W122" s="158" t="s">
        <v>627</v>
      </c>
      <c r="X122" s="158" t="s">
        <v>2169</v>
      </c>
      <c r="Y122" s="162" t="s">
        <v>2185</v>
      </c>
      <c r="Z122" s="163" t="s">
        <v>2191</v>
      </c>
      <c r="AA122" s="163">
        <v>1</v>
      </c>
      <c r="AB122" s="163">
        <v>1</v>
      </c>
      <c r="AC122" s="101">
        <v>1</v>
      </c>
      <c r="AD122" s="101">
        <v>1</v>
      </c>
      <c r="AE122" s="101" t="s">
        <v>2201</v>
      </c>
      <c r="AF122" s="102" t="str">
        <f>IF(ISERROR(VLOOKUP(AE122,小分類・セグメント!$A:$C,3,FALSE)),"",VLOOKUP(AE122,小分類・セグメント!$A:$C,3,FALSE))</f>
        <v>ECD</v>
      </c>
      <c r="AG122" s="103" t="str">
        <f>IF(ISERROR(VLOOKUP(AE122,小細分類・事業部マスタ!$E:$H,4,FALSE)),"",VLOOKUP(AE122,小細分類・事業部マスタ!$E:$H,4,FALSE))</f>
        <v>パワーデバイス事業部</v>
      </c>
      <c r="AH122" s="101" t="s">
        <v>2169</v>
      </c>
      <c r="AI122" s="104">
        <f>IF(ISERROR(VLOOKUP(AJ122,設置場所!$A:$B,2,FALSE)),"",VLOOKUP(AJ122,設置場所!$A:$B,2,FALSE))</f>
        <v>900000030</v>
      </c>
      <c r="AJ122" s="101" t="s">
        <v>2191</v>
      </c>
      <c r="AK122" s="101" t="s">
        <v>1331</v>
      </c>
      <c r="AL122" s="101" t="s">
        <v>1336</v>
      </c>
      <c r="AM122" s="101"/>
      <c r="AN122" s="101"/>
      <c r="AO122" s="101"/>
      <c r="AP122" s="101"/>
      <c r="AQ122" s="101"/>
      <c r="AR122" s="105"/>
      <c r="AS122" s="171"/>
    </row>
    <row r="123" spans="1:45">
      <c r="A123" s="131" t="s">
        <v>1224</v>
      </c>
      <c r="B123" s="156" t="s">
        <v>1337</v>
      </c>
      <c r="C123" s="156" t="s">
        <v>1321</v>
      </c>
      <c r="D123" s="156" t="s">
        <v>1470</v>
      </c>
      <c r="E123" s="156"/>
      <c r="F123" s="156" t="s">
        <v>1796</v>
      </c>
      <c r="G123" s="157">
        <v>43005</v>
      </c>
      <c r="H123" s="158" t="s">
        <v>1922</v>
      </c>
      <c r="I123" s="158" t="s">
        <v>2049</v>
      </c>
      <c r="J123" s="156" t="s">
        <v>2142</v>
      </c>
      <c r="K123" s="156" t="s">
        <v>2157</v>
      </c>
      <c r="L123" s="156" t="s">
        <v>2168</v>
      </c>
      <c r="M123" s="156">
        <v>8</v>
      </c>
      <c r="N123" s="159">
        <v>3270000</v>
      </c>
      <c r="O123" s="160">
        <v>1</v>
      </c>
      <c r="P123" s="160">
        <v>1</v>
      </c>
      <c r="Q123" s="160">
        <v>0</v>
      </c>
      <c r="R123" s="159">
        <v>1</v>
      </c>
      <c r="S123" s="157"/>
      <c r="T123" s="157">
        <v>44286</v>
      </c>
      <c r="U123" s="161">
        <v>1178349</v>
      </c>
      <c r="V123" s="158" t="s">
        <v>852</v>
      </c>
      <c r="W123" s="158" t="s">
        <v>627</v>
      </c>
      <c r="X123" s="158" t="s">
        <v>2169</v>
      </c>
      <c r="Y123" s="162" t="s">
        <v>2185</v>
      </c>
      <c r="Z123" s="163" t="s">
        <v>2191</v>
      </c>
      <c r="AA123" s="163">
        <v>1</v>
      </c>
      <c r="AB123" s="163">
        <v>1</v>
      </c>
      <c r="AC123" s="101">
        <v>1</v>
      </c>
      <c r="AD123" s="101">
        <v>1</v>
      </c>
      <c r="AE123" s="101" t="s">
        <v>2201</v>
      </c>
      <c r="AF123" s="102" t="str">
        <f>IF(ISERROR(VLOOKUP(AE123,小分類・セグメント!$A:$C,3,FALSE)),"",VLOOKUP(AE123,小分類・セグメント!$A:$C,3,FALSE))</f>
        <v>ECD</v>
      </c>
      <c r="AG123" s="103" t="str">
        <f>IF(ISERROR(VLOOKUP(AE123,小細分類・事業部マスタ!$E:$H,4,FALSE)),"",VLOOKUP(AE123,小細分類・事業部マスタ!$E:$H,4,FALSE))</f>
        <v>パワーデバイス事業部</v>
      </c>
      <c r="AH123" s="101" t="s">
        <v>2169</v>
      </c>
      <c r="AI123" s="104">
        <f>IF(ISERROR(VLOOKUP(AJ123,設置場所!$A:$B,2,FALSE)),"",VLOOKUP(AJ123,設置場所!$A:$B,2,FALSE))</f>
        <v>900000030</v>
      </c>
      <c r="AJ123" s="101" t="s">
        <v>2191</v>
      </c>
      <c r="AK123" s="101" t="s">
        <v>1331</v>
      </c>
      <c r="AL123" s="101" t="s">
        <v>1336</v>
      </c>
      <c r="AM123" s="101"/>
      <c r="AN123" s="101"/>
      <c r="AO123" s="101"/>
      <c r="AP123" s="101"/>
      <c r="AQ123" s="101"/>
      <c r="AR123" s="105"/>
      <c r="AS123" s="171"/>
    </row>
    <row r="124" spans="1:45">
      <c r="A124" s="131" t="s">
        <v>1224</v>
      </c>
      <c r="B124" s="156" t="s">
        <v>1337</v>
      </c>
      <c r="C124" s="156" t="s">
        <v>1321</v>
      </c>
      <c r="D124" s="156" t="s">
        <v>1471</v>
      </c>
      <c r="E124" s="156"/>
      <c r="F124" s="156" t="s">
        <v>1797</v>
      </c>
      <c r="G124" s="157">
        <v>43011</v>
      </c>
      <c r="H124" s="158" t="s">
        <v>1930</v>
      </c>
      <c r="I124" s="158" t="s">
        <v>2050</v>
      </c>
      <c r="J124" s="156" t="s">
        <v>2141</v>
      </c>
      <c r="K124" s="156" t="s">
        <v>2156</v>
      </c>
      <c r="L124" s="156" t="s">
        <v>2168</v>
      </c>
      <c r="M124" s="156">
        <v>8</v>
      </c>
      <c r="N124" s="159">
        <v>3102068</v>
      </c>
      <c r="O124" s="160">
        <v>1</v>
      </c>
      <c r="P124" s="160">
        <v>1</v>
      </c>
      <c r="Q124" s="160">
        <v>0</v>
      </c>
      <c r="R124" s="159">
        <v>1</v>
      </c>
      <c r="S124" s="157"/>
      <c r="T124" s="157">
        <v>44286</v>
      </c>
      <c r="U124" s="161">
        <v>1145099</v>
      </c>
      <c r="V124" s="158" t="s">
        <v>852</v>
      </c>
      <c r="W124" s="158" t="s">
        <v>627</v>
      </c>
      <c r="X124" s="158" t="s">
        <v>2179</v>
      </c>
      <c r="Y124" s="162" t="s">
        <v>2185</v>
      </c>
      <c r="Z124" s="163" t="s">
        <v>2191</v>
      </c>
      <c r="AA124" s="163">
        <v>1</v>
      </c>
      <c r="AB124" s="163">
        <v>1</v>
      </c>
      <c r="AC124" s="101">
        <v>1</v>
      </c>
      <c r="AD124" s="101">
        <v>1</v>
      </c>
      <c r="AE124" s="101" t="s">
        <v>2201</v>
      </c>
      <c r="AF124" s="102" t="str">
        <f>IF(ISERROR(VLOOKUP(AE124,小分類・セグメント!$A:$C,3,FALSE)),"",VLOOKUP(AE124,小分類・セグメント!$A:$C,3,FALSE))</f>
        <v>ECD</v>
      </c>
      <c r="AG124" s="103" t="str">
        <f>IF(ISERROR(VLOOKUP(AE124,小細分類・事業部マスタ!$E:$H,4,FALSE)),"",VLOOKUP(AE124,小細分類・事業部マスタ!$E:$H,4,FALSE))</f>
        <v>パワーデバイス事業部</v>
      </c>
      <c r="AH124" s="101" t="s">
        <v>2179</v>
      </c>
      <c r="AI124" s="104">
        <f>IF(ISERROR(VLOOKUP(AJ124,設置場所!$A:$B,2,FALSE)),"",VLOOKUP(AJ124,設置場所!$A:$B,2,FALSE))</f>
        <v>900000030</v>
      </c>
      <c r="AJ124" s="101" t="s">
        <v>2191</v>
      </c>
      <c r="AK124" s="101" t="s">
        <v>1331</v>
      </c>
      <c r="AL124" s="101" t="s">
        <v>1336</v>
      </c>
      <c r="AM124" s="101"/>
      <c r="AN124" s="101"/>
      <c r="AO124" s="101"/>
      <c r="AP124" s="101"/>
      <c r="AQ124" s="101"/>
      <c r="AR124" s="105"/>
      <c r="AS124" s="171"/>
    </row>
    <row r="125" spans="1:45">
      <c r="A125" s="131" t="s">
        <v>1224</v>
      </c>
      <c r="B125" s="156" t="s">
        <v>1337</v>
      </c>
      <c r="C125" s="156" t="s">
        <v>1321</v>
      </c>
      <c r="D125" s="156" t="s">
        <v>1472</v>
      </c>
      <c r="E125" s="156"/>
      <c r="F125" s="156" t="s">
        <v>1798</v>
      </c>
      <c r="G125" s="157">
        <v>43708</v>
      </c>
      <c r="H125" s="158" t="s">
        <v>1930</v>
      </c>
      <c r="I125" s="158" t="s">
        <v>2051</v>
      </c>
      <c r="J125" s="156" t="s">
        <v>2141</v>
      </c>
      <c r="K125" s="156" t="s">
        <v>2156</v>
      </c>
      <c r="L125" s="156" t="s">
        <v>2168</v>
      </c>
      <c r="M125" s="156">
        <v>8</v>
      </c>
      <c r="N125" s="159">
        <v>382218</v>
      </c>
      <c r="O125" s="160">
        <v>1</v>
      </c>
      <c r="P125" s="160">
        <v>1</v>
      </c>
      <c r="Q125" s="160">
        <v>0</v>
      </c>
      <c r="R125" s="159">
        <v>1</v>
      </c>
      <c r="S125" s="157"/>
      <c r="T125" s="157">
        <v>44286</v>
      </c>
      <c r="U125" s="161">
        <v>238886</v>
      </c>
      <c r="V125" s="158" t="s">
        <v>852</v>
      </c>
      <c r="W125" s="158" t="s">
        <v>627</v>
      </c>
      <c r="X125" s="158" t="s">
        <v>2180</v>
      </c>
      <c r="Y125" s="162" t="s">
        <v>2185</v>
      </c>
      <c r="Z125" s="163" t="s">
        <v>2191</v>
      </c>
      <c r="AA125" s="163">
        <v>1</v>
      </c>
      <c r="AB125" s="163">
        <v>1</v>
      </c>
      <c r="AC125" s="101">
        <v>1</v>
      </c>
      <c r="AD125" s="101">
        <v>1</v>
      </c>
      <c r="AE125" s="101" t="s">
        <v>2201</v>
      </c>
      <c r="AF125" s="102" t="str">
        <f>IF(ISERROR(VLOOKUP(AE125,小分類・セグメント!$A:$C,3,FALSE)),"",VLOOKUP(AE125,小分類・セグメント!$A:$C,3,FALSE))</f>
        <v>ECD</v>
      </c>
      <c r="AG125" s="103" t="str">
        <f>IF(ISERROR(VLOOKUP(AE125,小細分類・事業部マスタ!$E:$H,4,FALSE)),"",VLOOKUP(AE125,小細分類・事業部マスタ!$E:$H,4,FALSE))</f>
        <v>パワーデバイス事業部</v>
      </c>
      <c r="AH125" s="101" t="s">
        <v>2180</v>
      </c>
      <c r="AI125" s="104">
        <f>IF(ISERROR(VLOOKUP(AJ125,設置場所!$A:$B,2,FALSE)),"",VLOOKUP(AJ125,設置場所!$A:$B,2,FALSE))</f>
        <v>900000030</v>
      </c>
      <c r="AJ125" s="101" t="s">
        <v>2191</v>
      </c>
      <c r="AK125" s="101" t="s">
        <v>1331</v>
      </c>
      <c r="AL125" s="101" t="s">
        <v>1336</v>
      </c>
      <c r="AM125" s="101"/>
      <c r="AN125" s="101"/>
      <c r="AO125" s="101"/>
      <c r="AP125" s="101"/>
      <c r="AQ125" s="101"/>
      <c r="AR125" s="105"/>
      <c r="AS125" s="171"/>
    </row>
    <row r="126" spans="1:45">
      <c r="A126" s="131" t="s">
        <v>1224</v>
      </c>
      <c r="B126" s="156" t="s">
        <v>1337</v>
      </c>
      <c r="C126" s="156" t="s">
        <v>1321</v>
      </c>
      <c r="D126" s="156" t="s">
        <v>1473</v>
      </c>
      <c r="E126" s="156"/>
      <c r="F126" s="156" t="s">
        <v>1799</v>
      </c>
      <c r="G126" s="157">
        <v>43032</v>
      </c>
      <c r="H126" s="158" t="s">
        <v>1927</v>
      </c>
      <c r="I126" s="158" t="s">
        <v>2052</v>
      </c>
      <c r="J126" s="156" t="s">
        <v>2146</v>
      </c>
      <c r="K126" s="156" t="s">
        <v>2161</v>
      </c>
      <c r="L126" s="156" t="s">
        <v>2168</v>
      </c>
      <c r="M126" s="156">
        <v>8</v>
      </c>
      <c r="N126" s="159">
        <v>3990000</v>
      </c>
      <c r="O126" s="160">
        <v>1</v>
      </c>
      <c r="P126" s="160">
        <v>1</v>
      </c>
      <c r="Q126" s="160">
        <v>0</v>
      </c>
      <c r="R126" s="159">
        <v>1</v>
      </c>
      <c r="S126" s="157"/>
      <c r="T126" s="157">
        <v>44286</v>
      </c>
      <c r="U126" s="161">
        <v>1472871</v>
      </c>
      <c r="V126" s="158" t="s">
        <v>852</v>
      </c>
      <c r="W126" s="158" t="s">
        <v>627</v>
      </c>
      <c r="X126" s="158" t="s">
        <v>2169</v>
      </c>
      <c r="Y126" s="162" t="s">
        <v>2185</v>
      </c>
      <c r="Z126" s="163" t="s">
        <v>2191</v>
      </c>
      <c r="AA126" s="163">
        <v>1</v>
      </c>
      <c r="AB126" s="163">
        <v>1</v>
      </c>
      <c r="AC126" s="101">
        <v>1</v>
      </c>
      <c r="AD126" s="101">
        <v>1</v>
      </c>
      <c r="AE126" s="101" t="s">
        <v>2201</v>
      </c>
      <c r="AF126" s="102" t="str">
        <f>IF(ISERROR(VLOOKUP(AE126,小分類・セグメント!$A:$C,3,FALSE)),"",VLOOKUP(AE126,小分類・セグメント!$A:$C,3,FALSE))</f>
        <v>ECD</v>
      </c>
      <c r="AG126" s="103" t="str">
        <f>IF(ISERROR(VLOOKUP(AE126,小細分類・事業部マスタ!$E:$H,4,FALSE)),"",VLOOKUP(AE126,小細分類・事業部マスタ!$E:$H,4,FALSE))</f>
        <v>パワーデバイス事業部</v>
      </c>
      <c r="AH126" s="101" t="s">
        <v>2169</v>
      </c>
      <c r="AI126" s="104">
        <f>IF(ISERROR(VLOOKUP(AJ126,設置場所!$A:$B,2,FALSE)),"",VLOOKUP(AJ126,設置場所!$A:$B,2,FALSE))</f>
        <v>900000030</v>
      </c>
      <c r="AJ126" s="101" t="s">
        <v>2191</v>
      </c>
      <c r="AK126" s="101" t="s">
        <v>1331</v>
      </c>
      <c r="AL126" s="101" t="s">
        <v>1336</v>
      </c>
      <c r="AM126" s="101"/>
      <c r="AN126" s="101"/>
      <c r="AO126" s="101"/>
      <c r="AP126" s="101"/>
      <c r="AQ126" s="101"/>
      <c r="AR126" s="105"/>
      <c r="AS126" s="171"/>
    </row>
    <row r="127" spans="1:45">
      <c r="A127" s="131" t="s">
        <v>1224</v>
      </c>
      <c r="B127" s="156" t="s">
        <v>1337</v>
      </c>
      <c r="C127" s="156" t="s">
        <v>1321</v>
      </c>
      <c r="D127" s="156" t="s">
        <v>1474</v>
      </c>
      <c r="E127" s="156"/>
      <c r="F127" s="156" t="s">
        <v>1800</v>
      </c>
      <c r="G127" s="157">
        <v>43066</v>
      </c>
      <c r="H127" s="158" t="s">
        <v>1925</v>
      </c>
      <c r="I127" s="158" t="s">
        <v>2053</v>
      </c>
      <c r="J127" s="156" t="s">
        <v>2144</v>
      </c>
      <c r="K127" s="156" t="s">
        <v>2159</v>
      </c>
      <c r="L127" s="156" t="s">
        <v>2168</v>
      </c>
      <c r="M127" s="156">
        <v>8</v>
      </c>
      <c r="N127" s="159">
        <v>65430000</v>
      </c>
      <c r="O127" s="160">
        <v>1</v>
      </c>
      <c r="P127" s="160">
        <v>1</v>
      </c>
      <c r="Q127" s="160">
        <v>0</v>
      </c>
      <c r="R127" s="159">
        <v>1</v>
      </c>
      <c r="S127" s="157"/>
      <c r="T127" s="157">
        <v>44286</v>
      </c>
      <c r="U127" s="161">
        <v>24727940</v>
      </c>
      <c r="V127" s="158" t="s">
        <v>852</v>
      </c>
      <c r="W127" s="158" t="s">
        <v>627</v>
      </c>
      <c r="X127" s="158" t="s">
        <v>2169</v>
      </c>
      <c r="Y127" s="162" t="s">
        <v>2185</v>
      </c>
      <c r="Z127" s="163" t="s">
        <v>2191</v>
      </c>
      <c r="AA127" s="163">
        <v>1</v>
      </c>
      <c r="AB127" s="163">
        <v>1</v>
      </c>
      <c r="AC127" s="101">
        <v>1</v>
      </c>
      <c r="AD127" s="101">
        <v>1</v>
      </c>
      <c r="AE127" s="101" t="s">
        <v>2201</v>
      </c>
      <c r="AF127" s="102" t="str">
        <f>IF(ISERROR(VLOOKUP(AE127,小分類・セグメント!$A:$C,3,FALSE)),"",VLOOKUP(AE127,小分類・セグメント!$A:$C,3,FALSE))</f>
        <v>ECD</v>
      </c>
      <c r="AG127" s="103" t="str">
        <f>IF(ISERROR(VLOOKUP(AE127,小細分類・事業部マスタ!$E:$H,4,FALSE)),"",VLOOKUP(AE127,小細分類・事業部マスタ!$E:$H,4,FALSE))</f>
        <v>パワーデバイス事業部</v>
      </c>
      <c r="AH127" s="101" t="s">
        <v>2169</v>
      </c>
      <c r="AI127" s="104">
        <f>IF(ISERROR(VLOOKUP(AJ127,設置場所!$A:$B,2,FALSE)),"",VLOOKUP(AJ127,設置場所!$A:$B,2,FALSE))</f>
        <v>900000030</v>
      </c>
      <c r="AJ127" s="101" t="s">
        <v>2191</v>
      </c>
      <c r="AK127" s="101" t="s">
        <v>1331</v>
      </c>
      <c r="AL127" s="101" t="s">
        <v>1336</v>
      </c>
      <c r="AM127" s="101"/>
      <c r="AN127" s="101"/>
      <c r="AO127" s="101"/>
      <c r="AP127" s="101"/>
      <c r="AQ127" s="101"/>
      <c r="AR127" s="105"/>
      <c r="AS127" s="171"/>
    </row>
    <row r="128" spans="1:45">
      <c r="A128" s="131" t="s">
        <v>1224</v>
      </c>
      <c r="B128" s="156" t="s">
        <v>1337</v>
      </c>
      <c r="C128" s="156" t="s">
        <v>1321</v>
      </c>
      <c r="D128" s="156" t="s">
        <v>1475</v>
      </c>
      <c r="E128" s="156"/>
      <c r="F128" s="156" t="s">
        <v>1801</v>
      </c>
      <c r="G128" s="157">
        <v>43437</v>
      </c>
      <c r="H128" s="158" t="s">
        <v>1925</v>
      </c>
      <c r="I128" s="158" t="s">
        <v>2054</v>
      </c>
      <c r="J128" s="156" t="s">
        <v>2144</v>
      </c>
      <c r="K128" s="156" t="s">
        <v>2159</v>
      </c>
      <c r="L128" s="156" t="s">
        <v>2168</v>
      </c>
      <c r="M128" s="156">
        <v>8</v>
      </c>
      <c r="N128" s="159">
        <v>3385750</v>
      </c>
      <c r="O128" s="160">
        <v>1</v>
      </c>
      <c r="P128" s="160">
        <v>1</v>
      </c>
      <c r="Q128" s="160">
        <v>0</v>
      </c>
      <c r="R128" s="159">
        <v>1</v>
      </c>
      <c r="S128" s="157"/>
      <c r="T128" s="157">
        <v>44286</v>
      </c>
      <c r="U128" s="161">
        <v>1745777</v>
      </c>
      <c r="V128" s="158" t="s">
        <v>852</v>
      </c>
      <c r="W128" s="158" t="s">
        <v>627</v>
      </c>
      <c r="X128" s="158" t="s">
        <v>2169</v>
      </c>
      <c r="Y128" s="162" t="s">
        <v>2185</v>
      </c>
      <c r="Z128" s="163" t="s">
        <v>2191</v>
      </c>
      <c r="AA128" s="163">
        <v>1</v>
      </c>
      <c r="AB128" s="163">
        <v>1</v>
      </c>
      <c r="AC128" s="101">
        <v>1</v>
      </c>
      <c r="AD128" s="101">
        <v>1</v>
      </c>
      <c r="AE128" s="101" t="s">
        <v>2201</v>
      </c>
      <c r="AF128" s="102" t="str">
        <f>IF(ISERROR(VLOOKUP(AE128,小分類・セグメント!$A:$C,3,FALSE)),"",VLOOKUP(AE128,小分類・セグメント!$A:$C,3,FALSE))</f>
        <v>ECD</v>
      </c>
      <c r="AG128" s="103" t="str">
        <f>IF(ISERROR(VLOOKUP(AE128,小細分類・事業部マスタ!$E:$H,4,FALSE)),"",VLOOKUP(AE128,小細分類・事業部マスタ!$E:$H,4,FALSE))</f>
        <v>パワーデバイス事業部</v>
      </c>
      <c r="AH128" s="101" t="s">
        <v>2169</v>
      </c>
      <c r="AI128" s="104">
        <f>IF(ISERROR(VLOOKUP(AJ128,設置場所!$A:$B,2,FALSE)),"",VLOOKUP(AJ128,設置場所!$A:$B,2,FALSE))</f>
        <v>900000030</v>
      </c>
      <c r="AJ128" s="101" t="s">
        <v>2191</v>
      </c>
      <c r="AK128" s="101" t="s">
        <v>1331</v>
      </c>
      <c r="AL128" s="101" t="s">
        <v>1336</v>
      </c>
      <c r="AM128" s="101"/>
      <c r="AN128" s="101"/>
      <c r="AO128" s="101"/>
      <c r="AP128" s="101"/>
      <c r="AQ128" s="101"/>
      <c r="AR128" s="105"/>
      <c r="AS128" s="171"/>
    </row>
    <row r="129" spans="1:45">
      <c r="A129" s="131" t="s">
        <v>1224</v>
      </c>
      <c r="B129" s="156" t="s">
        <v>1337</v>
      </c>
      <c r="C129" s="156" t="s">
        <v>1321</v>
      </c>
      <c r="D129" s="156" t="s">
        <v>1476</v>
      </c>
      <c r="E129" s="156"/>
      <c r="F129" s="156" t="s">
        <v>1802</v>
      </c>
      <c r="G129" s="157">
        <v>43437</v>
      </c>
      <c r="H129" s="158" t="s">
        <v>1925</v>
      </c>
      <c r="I129" s="158" t="s">
        <v>2055</v>
      </c>
      <c r="J129" s="156" t="s">
        <v>2144</v>
      </c>
      <c r="K129" s="156" t="s">
        <v>2159</v>
      </c>
      <c r="L129" s="156" t="s">
        <v>2168</v>
      </c>
      <c r="M129" s="156">
        <v>8</v>
      </c>
      <c r="N129" s="159">
        <v>495000</v>
      </c>
      <c r="O129" s="160">
        <v>1</v>
      </c>
      <c r="P129" s="160">
        <v>1</v>
      </c>
      <c r="Q129" s="160">
        <v>0</v>
      </c>
      <c r="R129" s="159">
        <v>1</v>
      </c>
      <c r="S129" s="157"/>
      <c r="T129" s="157">
        <v>44286</v>
      </c>
      <c r="U129" s="161">
        <v>255234</v>
      </c>
      <c r="V129" s="158" t="s">
        <v>852</v>
      </c>
      <c r="W129" s="158" t="s">
        <v>627</v>
      </c>
      <c r="X129" s="158" t="s">
        <v>2169</v>
      </c>
      <c r="Y129" s="162" t="s">
        <v>2185</v>
      </c>
      <c r="Z129" s="163" t="s">
        <v>2191</v>
      </c>
      <c r="AA129" s="163">
        <v>1</v>
      </c>
      <c r="AB129" s="163">
        <v>1</v>
      </c>
      <c r="AC129" s="101">
        <v>1</v>
      </c>
      <c r="AD129" s="101">
        <v>1</v>
      </c>
      <c r="AE129" s="101" t="s">
        <v>2201</v>
      </c>
      <c r="AF129" s="102" t="str">
        <f>IF(ISERROR(VLOOKUP(AE129,小分類・セグメント!$A:$C,3,FALSE)),"",VLOOKUP(AE129,小分類・セグメント!$A:$C,3,FALSE))</f>
        <v>ECD</v>
      </c>
      <c r="AG129" s="103" t="str">
        <f>IF(ISERROR(VLOOKUP(AE129,小細分類・事業部マスタ!$E:$H,4,FALSE)),"",VLOOKUP(AE129,小細分類・事業部マスタ!$E:$H,4,FALSE))</f>
        <v>パワーデバイス事業部</v>
      </c>
      <c r="AH129" s="101" t="s">
        <v>2169</v>
      </c>
      <c r="AI129" s="104">
        <f>IF(ISERROR(VLOOKUP(AJ129,設置場所!$A:$B,2,FALSE)),"",VLOOKUP(AJ129,設置場所!$A:$B,2,FALSE))</f>
        <v>900000030</v>
      </c>
      <c r="AJ129" s="101" t="s">
        <v>2191</v>
      </c>
      <c r="AK129" s="101" t="s">
        <v>1331</v>
      </c>
      <c r="AL129" s="101" t="s">
        <v>1336</v>
      </c>
      <c r="AM129" s="101"/>
      <c r="AN129" s="101"/>
      <c r="AO129" s="101"/>
      <c r="AP129" s="101"/>
      <c r="AQ129" s="101"/>
      <c r="AR129" s="105"/>
      <c r="AS129" s="171"/>
    </row>
    <row r="130" spans="1:45">
      <c r="A130" s="131" t="s">
        <v>1224</v>
      </c>
      <c r="B130" s="156" t="s">
        <v>1337</v>
      </c>
      <c r="C130" s="156" t="s">
        <v>1321</v>
      </c>
      <c r="D130" s="156" t="s">
        <v>1477</v>
      </c>
      <c r="E130" s="156"/>
      <c r="F130" s="156" t="s">
        <v>1803</v>
      </c>
      <c r="G130" s="157">
        <v>43130</v>
      </c>
      <c r="H130" s="158" t="s">
        <v>1922</v>
      </c>
      <c r="I130" s="158" t="s">
        <v>2056</v>
      </c>
      <c r="J130" s="156" t="s">
        <v>2145</v>
      </c>
      <c r="K130" s="156" t="s">
        <v>2160</v>
      </c>
      <c r="L130" s="156" t="s">
        <v>2168</v>
      </c>
      <c r="M130" s="156">
        <v>8</v>
      </c>
      <c r="N130" s="159">
        <v>240000</v>
      </c>
      <c r="O130" s="160">
        <v>1</v>
      </c>
      <c r="P130" s="160">
        <v>1</v>
      </c>
      <c r="Q130" s="160">
        <v>0</v>
      </c>
      <c r="R130" s="159">
        <v>1</v>
      </c>
      <c r="S130" s="157"/>
      <c r="T130" s="157">
        <v>44286</v>
      </c>
      <c r="U130" s="161">
        <v>94922</v>
      </c>
      <c r="V130" s="158" t="s">
        <v>852</v>
      </c>
      <c r="W130" s="158" t="s">
        <v>627</v>
      </c>
      <c r="X130" s="158" t="s">
        <v>2169</v>
      </c>
      <c r="Y130" s="162" t="s">
        <v>2185</v>
      </c>
      <c r="Z130" s="163" t="s">
        <v>2191</v>
      </c>
      <c r="AA130" s="163">
        <v>1</v>
      </c>
      <c r="AB130" s="163">
        <v>1</v>
      </c>
      <c r="AC130" s="101">
        <v>1</v>
      </c>
      <c r="AD130" s="101">
        <v>1</v>
      </c>
      <c r="AE130" s="101" t="s">
        <v>2201</v>
      </c>
      <c r="AF130" s="102" t="str">
        <f>IF(ISERROR(VLOOKUP(AE130,小分類・セグメント!$A:$C,3,FALSE)),"",VLOOKUP(AE130,小分類・セグメント!$A:$C,3,FALSE))</f>
        <v>ECD</v>
      </c>
      <c r="AG130" s="103" t="str">
        <f>IF(ISERROR(VLOOKUP(AE130,小細分類・事業部マスタ!$E:$H,4,FALSE)),"",VLOOKUP(AE130,小細分類・事業部マスタ!$E:$H,4,FALSE))</f>
        <v>パワーデバイス事業部</v>
      </c>
      <c r="AH130" s="101" t="s">
        <v>2169</v>
      </c>
      <c r="AI130" s="104">
        <f>IF(ISERROR(VLOOKUP(AJ130,設置場所!$A:$B,2,FALSE)),"",VLOOKUP(AJ130,設置場所!$A:$B,2,FALSE))</f>
        <v>900000030</v>
      </c>
      <c r="AJ130" s="101" t="s">
        <v>2191</v>
      </c>
      <c r="AK130" s="101" t="s">
        <v>1331</v>
      </c>
      <c r="AL130" s="101" t="s">
        <v>1336</v>
      </c>
      <c r="AM130" s="101"/>
      <c r="AN130" s="101"/>
      <c r="AO130" s="101"/>
      <c r="AP130" s="101"/>
      <c r="AQ130" s="101"/>
      <c r="AR130" s="105"/>
      <c r="AS130" s="171"/>
    </row>
    <row r="131" spans="1:45">
      <c r="A131" s="131" t="s">
        <v>1224</v>
      </c>
      <c r="B131" s="156" t="s">
        <v>1337</v>
      </c>
      <c r="C131" s="156" t="s">
        <v>1321</v>
      </c>
      <c r="D131" s="156" t="s">
        <v>1478</v>
      </c>
      <c r="E131" s="156"/>
      <c r="F131" s="156" t="s">
        <v>1804</v>
      </c>
      <c r="G131" s="157">
        <v>43130</v>
      </c>
      <c r="H131" s="158" t="s">
        <v>1922</v>
      </c>
      <c r="I131" s="158" t="s">
        <v>2056</v>
      </c>
      <c r="J131" s="156" t="s">
        <v>2145</v>
      </c>
      <c r="K131" s="156" t="s">
        <v>2160</v>
      </c>
      <c r="L131" s="156" t="s">
        <v>2168</v>
      </c>
      <c r="M131" s="156">
        <v>8</v>
      </c>
      <c r="N131" s="159">
        <v>240000</v>
      </c>
      <c r="O131" s="160">
        <v>1</v>
      </c>
      <c r="P131" s="160">
        <v>1</v>
      </c>
      <c r="Q131" s="160">
        <v>0</v>
      </c>
      <c r="R131" s="159">
        <v>1</v>
      </c>
      <c r="S131" s="157"/>
      <c r="T131" s="157">
        <v>44286</v>
      </c>
      <c r="U131" s="161">
        <v>94922</v>
      </c>
      <c r="V131" s="158" t="s">
        <v>852</v>
      </c>
      <c r="W131" s="158" t="s">
        <v>627</v>
      </c>
      <c r="X131" s="158" t="s">
        <v>2169</v>
      </c>
      <c r="Y131" s="162" t="s">
        <v>2185</v>
      </c>
      <c r="Z131" s="163" t="s">
        <v>2191</v>
      </c>
      <c r="AA131" s="163">
        <v>1</v>
      </c>
      <c r="AB131" s="163">
        <v>1</v>
      </c>
      <c r="AC131" s="101">
        <v>1</v>
      </c>
      <c r="AD131" s="101">
        <v>1</v>
      </c>
      <c r="AE131" s="101" t="s">
        <v>2201</v>
      </c>
      <c r="AF131" s="102" t="str">
        <f>IF(ISERROR(VLOOKUP(AE131,小分類・セグメント!$A:$C,3,FALSE)),"",VLOOKUP(AE131,小分類・セグメント!$A:$C,3,FALSE))</f>
        <v>ECD</v>
      </c>
      <c r="AG131" s="103" t="str">
        <f>IF(ISERROR(VLOOKUP(AE131,小細分類・事業部マスタ!$E:$H,4,FALSE)),"",VLOOKUP(AE131,小細分類・事業部マスタ!$E:$H,4,FALSE))</f>
        <v>パワーデバイス事業部</v>
      </c>
      <c r="AH131" s="101" t="s">
        <v>2169</v>
      </c>
      <c r="AI131" s="104">
        <f>IF(ISERROR(VLOOKUP(AJ131,設置場所!$A:$B,2,FALSE)),"",VLOOKUP(AJ131,設置場所!$A:$B,2,FALSE))</f>
        <v>900000030</v>
      </c>
      <c r="AJ131" s="101" t="s">
        <v>2191</v>
      </c>
      <c r="AK131" s="101" t="s">
        <v>1331</v>
      </c>
      <c r="AL131" s="101" t="s">
        <v>1336</v>
      </c>
      <c r="AM131" s="101"/>
      <c r="AN131" s="101"/>
      <c r="AO131" s="101"/>
      <c r="AP131" s="101"/>
      <c r="AQ131" s="101"/>
      <c r="AR131" s="105"/>
      <c r="AS131" s="171"/>
    </row>
    <row r="132" spans="1:45">
      <c r="A132" s="131" t="s">
        <v>1224</v>
      </c>
      <c r="B132" s="156" t="s">
        <v>1337</v>
      </c>
      <c r="C132" s="156" t="s">
        <v>1321</v>
      </c>
      <c r="D132" s="156" t="s">
        <v>1479</v>
      </c>
      <c r="E132" s="156"/>
      <c r="F132" s="156" t="s">
        <v>1805</v>
      </c>
      <c r="G132" s="157">
        <v>43130</v>
      </c>
      <c r="H132" s="158" t="s">
        <v>1922</v>
      </c>
      <c r="I132" s="158" t="s">
        <v>2057</v>
      </c>
      <c r="J132" s="156" t="s">
        <v>2145</v>
      </c>
      <c r="K132" s="156" t="s">
        <v>2160</v>
      </c>
      <c r="L132" s="156" t="s">
        <v>2168</v>
      </c>
      <c r="M132" s="156">
        <v>8</v>
      </c>
      <c r="N132" s="159">
        <v>240000</v>
      </c>
      <c r="O132" s="160">
        <v>1</v>
      </c>
      <c r="P132" s="160">
        <v>1</v>
      </c>
      <c r="Q132" s="160">
        <v>0</v>
      </c>
      <c r="R132" s="159">
        <v>1</v>
      </c>
      <c r="S132" s="157"/>
      <c r="T132" s="157">
        <v>44286</v>
      </c>
      <c r="U132" s="161">
        <v>94922</v>
      </c>
      <c r="V132" s="158" t="s">
        <v>852</v>
      </c>
      <c r="W132" s="158" t="s">
        <v>627</v>
      </c>
      <c r="X132" s="158" t="s">
        <v>2169</v>
      </c>
      <c r="Y132" s="162" t="s">
        <v>2185</v>
      </c>
      <c r="Z132" s="163" t="s">
        <v>2191</v>
      </c>
      <c r="AA132" s="163">
        <v>1</v>
      </c>
      <c r="AB132" s="163">
        <v>1</v>
      </c>
      <c r="AC132" s="101">
        <v>1</v>
      </c>
      <c r="AD132" s="101">
        <v>1</v>
      </c>
      <c r="AE132" s="101" t="s">
        <v>2201</v>
      </c>
      <c r="AF132" s="102" t="str">
        <f>IF(ISERROR(VLOOKUP(AE132,小分類・セグメント!$A:$C,3,FALSE)),"",VLOOKUP(AE132,小分類・セグメント!$A:$C,3,FALSE))</f>
        <v>ECD</v>
      </c>
      <c r="AG132" s="103" t="str">
        <f>IF(ISERROR(VLOOKUP(AE132,小細分類・事業部マスタ!$E:$H,4,FALSE)),"",VLOOKUP(AE132,小細分類・事業部マスタ!$E:$H,4,FALSE))</f>
        <v>パワーデバイス事業部</v>
      </c>
      <c r="AH132" s="101" t="s">
        <v>2169</v>
      </c>
      <c r="AI132" s="104">
        <f>IF(ISERROR(VLOOKUP(AJ132,設置場所!$A:$B,2,FALSE)),"",VLOOKUP(AJ132,設置場所!$A:$B,2,FALSE))</f>
        <v>900000030</v>
      </c>
      <c r="AJ132" s="101" t="s">
        <v>2191</v>
      </c>
      <c r="AK132" s="101" t="s">
        <v>1331</v>
      </c>
      <c r="AL132" s="101" t="s">
        <v>1336</v>
      </c>
      <c r="AM132" s="101"/>
      <c r="AN132" s="101"/>
      <c r="AO132" s="101"/>
      <c r="AP132" s="101"/>
      <c r="AQ132" s="101"/>
      <c r="AR132" s="105"/>
      <c r="AS132" s="171"/>
    </row>
    <row r="133" spans="1:45">
      <c r="A133" s="131" t="s">
        <v>1224</v>
      </c>
      <c r="B133" s="156" t="s">
        <v>1337</v>
      </c>
      <c r="C133" s="156" t="s">
        <v>1321</v>
      </c>
      <c r="D133" s="156" t="s">
        <v>1480</v>
      </c>
      <c r="E133" s="156"/>
      <c r="F133" s="156" t="s">
        <v>1806</v>
      </c>
      <c r="G133" s="157">
        <v>43130</v>
      </c>
      <c r="H133" s="158" t="s">
        <v>1922</v>
      </c>
      <c r="I133" s="158" t="s">
        <v>2057</v>
      </c>
      <c r="J133" s="156" t="s">
        <v>2145</v>
      </c>
      <c r="K133" s="156" t="s">
        <v>2160</v>
      </c>
      <c r="L133" s="156" t="s">
        <v>2168</v>
      </c>
      <c r="M133" s="156">
        <v>8</v>
      </c>
      <c r="N133" s="159">
        <v>240000</v>
      </c>
      <c r="O133" s="160">
        <v>1</v>
      </c>
      <c r="P133" s="160">
        <v>1</v>
      </c>
      <c r="Q133" s="160">
        <v>0</v>
      </c>
      <c r="R133" s="159">
        <v>1</v>
      </c>
      <c r="S133" s="157"/>
      <c r="T133" s="157">
        <v>44286</v>
      </c>
      <c r="U133" s="161">
        <v>94922</v>
      </c>
      <c r="V133" s="158" t="s">
        <v>852</v>
      </c>
      <c r="W133" s="158" t="s">
        <v>627</v>
      </c>
      <c r="X133" s="158" t="s">
        <v>2169</v>
      </c>
      <c r="Y133" s="162" t="s">
        <v>2185</v>
      </c>
      <c r="Z133" s="163" t="s">
        <v>2191</v>
      </c>
      <c r="AA133" s="163">
        <v>1</v>
      </c>
      <c r="AB133" s="163">
        <v>1</v>
      </c>
      <c r="AC133" s="101">
        <v>1</v>
      </c>
      <c r="AD133" s="101">
        <v>1</v>
      </c>
      <c r="AE133" s="101" t="s">
        <v>2201</v>
      </c>
      <c r="AF133" s="102" t="str">
        <f>IF(ISERROR(VLOOKUP(AE133,小分類・セグメント!$A:$C,3,FALSE)),"",VLOOKUP(AE133,小分類・セグメント!$A:$C,3,FALSE))</f>
        <v>ECD</v>
      </c>
      <c r="AG133" s="103" t="str">
        <f>IF(ISERROR(VLOOKUP(AE133,小細分類・事業部マスタ!$E:$H,4,FALSE)),"",VLOOKUP(AE133,小細分類・事業部マスタ!$E:$H,4,FALSE))</f>
        <v>パワーデバイス事業部</v>
      </c>
      <c r="AH133" s="101" t="s">
        <v>2169</v>
      </c>
      <c r="AI133" s="104">
        <f>IF(ISERROR(VLOOKUP(AJ133,設置場所!$A:$B,2,FALSE)),"",VLOOKUP(AJ133,設置場所!$A:$B,2,FALSE))</f>
        <v>900000030</v>
      </c>
      <c r="AJ133" s="101" t="s">
        <v>2191</v>
      </c>
      <c r="AK133" s="101" t="s">
        <v>1331</v>
      </c>
      <c r="AL133" s="101" t="s">
        <v>1336</v>
      </c>
      <c r="AM133" s="101"/>
      <c r="AN133" s="101"/>
      <c r="AO133" s="101"/>
      <c r="AP133" s="101"/>
      <c r="AQ133" s="101"/>
      <c r="AR133" s="105"/>
      <c r="AS133" s="171"/>
    </row>
    <row r="134" spans="1:45">
      <c r="A134" s="131" t="s">
        <v>1224</v>
      </c>
      <c r="B134" s="156" t="s">
        <v>1337</v>
      </c>
      <c r="C134" s="156" t="s">
        <v>1321</v>
      </c>
      <c r="D134" s="156" t="s">
        <v>1481</v>
      </c>
      <c r="E134" s="156"/>
      <c r="F134" s="156" t="s">
        <v>1807</v>
      </c>
      <c r="G134" s="157">
        <v>43130</v>
      </c>
      <c r="H134" s="158" t="s">
        <v>1922</v>
      </c>
      <c r="I134" s="158" t="s">
        <v>2057</v>
      </c>
      <c r="J134" s="156" t="s">
        <v>2145</v>
      </c>
      <c r="K134" s="156" t="s">
        <v>2160</v>
      </c>
      <c r="L134" s="156" t="s">
        <v>2168</v>
      </c>
      <c r="M134" s="156">
        <v>8</v>
      </c>
      <c r="N134" s="159">
        <v>240000</v>
      </c>
      <c r="O134" s="160">
        <v>1</v>
      </c>
      <c r="P134" s="160">
        <v>1</v>
      </c>
      <c r="Q134" s="160">
        <v>0</v>
      </c>
      <c r="R134" s="159">
        <v>1</v>
      </c>
      <c r="S134" s="157"/>
      <c r="T134" s="157">
        <v>44286</v>
      </c>
      <c r="U134" s="161">
        <v>94922</v>
      </c>
      <c r="V134" s="158" t="s">
        <v>852</v>
      </c>
      <c r="W134" s="158" t="s">
        <v>627</v>
      </c>
      <c r="X134" s="158" t="s">
        <v>2169</v>
      </c>
      <c r="Y134" s="162" t="s">
        <v>2185</v>
      </c>
      <c r="Z134" s="163" t="s">
        <v>2191</v>
      </c>
      <c r="AA134" s="163">
        <v>1</v>
      </c>
      <c r="AB134" s="163">
        <v>1</v>
      </c>
      <c r="AC134" s="101">
        <v>1</v>
      </c>
      <c r="AD134" s="101">
        <v>1</v>
      </c>
      <c r="AE134" s="101" t="s">
        <v>2201</v>
      </c>
      <c r="AF134" s="102" t="str">
        <f>IF(ISERROR(VLOOKUP(AE134,小分類・セグメント!$A:$C,3,FALSE)),"",VLOOKUP(AE134,小分類・セグメント!$A:$C,3,FALSE))</f>
        <v>ECD</v>
      </c>
      <c r="AG134" s="103" t="str">
        <f>IF(ISERROR(VLOOKUP(AE134,小細分類・事業部マスタ!$E:$H,4,FALSE)),"",VLOOKUP(AE134,小細分類・事業部マスタ!$E:$H,4,FALSE))</f>
        <v>パワーデバイス事業部</v>
      </c>
      <c r="AH134" s="101" t="s">
        <v>2169</v>
      </c>
      <c r="AI134" s="104">
        <f>IF(ISERROR(VLOOKUP(AJ134,設置場所!$A:$B,2,FALSE)),"",VLOOKUP(AJ134,設置場所!$A:$B,2,FALSE))</f>
        <v>900000030</v>
      </c>
      <c r="AJ134" s="101" t="s">
        <v>2191</v>
      </c>
      <c r="AK134" s="101" t="s">
        <v>1331</v>
      </c>
      <c r="AL134" s="101" t="s">
        <v>1336</v>
      </c>
      <c r="AM134" s="101"/>
      <c r="AN134" s="101"/>
      <c r="AO134" s="101"/>
      <c r="AP134" s="101"/>
      <c r="AQ134" s="101"/>
      <c r="AR134" s="105"/>
      <c r="AS134" s="171"/>
    </row>
    <row r="135" spans="1:45">
      <c r="A135" s="131" t="s">
        <v>1224</v>
      </c>
      <c r="B135" s="156" t="s">
        <v>1337</v>
      </c>
      <c r="C135" s="156" t="s">
        <v>1321</v>
      </c>
      <c r="D135" s="156" t="s">
        <v>1482</v>
      </c>
      <c r="E135" s="156"/>
      <c r="F135" s="156" t="s">
        <v>1808</v>
      </c>
      <c r="G135" s="157">
        <v>43130</v>
      </c>
      <c r="H135" s="158" t="s">
        <v>1922</v>
      </c>
      <c r="I135" s="158" t="s">
        <v>2057</v>
      </c>
      <c r="J135" s="156" t="s">
        <v>2145</v>
      </c>
      <c r="K135" s="156" t="s">
        <v>2160</v>
      </c>
      <c r="L135" s="156" t="s">
        <v>2168</v>
      </c>
      <c r="M135" s="156">
        <v>8</v>
      </c>
      <c r="N135" s="159">
        <v>240000</v>
      </c>
      <c r="O135" s="160">
        <v>1</v>
      </c>
      <c r="P135" s="160">
        <v>1</v>
      </c>
      <c r="Q135" s="160">
        <v>0</v>
      </c>
      <c r="R135" s="159">
        <v>1</v>
      </c>
      <c r="S135" s="157"/>
      <c r="T135" s="157">
        <v>44286</v>
      </c>
      <c r="U135" s="161">
        <v>94922</v>
      </c>
      <c r="V135" s="158" t="s">
        <v>852</v>
      </c>
      <c r="W135" s="158" t="s">
        <v>627</v>
      </c>
      <c r="X135" s="158" t="s">
        <v>2169</v>
      </c>
      <c r="Y135" s="162" t="s">
        <v>2185</v>
      </c>
      <c r="Z135" s="163" t="s">
        <v>2191</v>
      </c>
      <c r="AA135" s="163">
        <v>1</v>
      </c>
      <c r="AB135" s="163">
        <v>1</v>
      </c>
      <c r="AC135" s="101">
        <v>1</v>
      </c>
      <c r="AD135" s="101">
        <v>1</v>
      </c>
      <c r="AE135" s="101" t="s">
        <v>2201</v>
      </c>
      <c r="AF135" s="102" t="str">
        <f>IF(ISERROR(VLOOKUP(AE135,小分類・セグメント!$A:$C,3,FALSE)),"",VLOOKUP(AE135,小分類・セグメント!$A:$C,3,FALSE))</f>
        <v>ECD</v>
      </c>
      <c r="AG135" s="103" t="str">
        <f>IF(ISERROR(VLOOKUP(AE135,小細分類・事業部マスタ!$E:$H,4,FALSE)),"",VLOOKUP(AE135,小細分類・事業部マスタ!$E:$H,4,FALSE))</f>
        <v>パワーデバイス事業部</v>
      </c>
      <c r="AH135" s="101" t="s">
        <v>2169</v>
      </c>
      <c r="AI135" s="104">
        <f>IF(ISERROR(VLOOKUP(AJ135,設置場所!$A:$B,2,FALSE)),"",VLOOKUP(AJ135,設置場所!$A:$B,2,FALSE))</f>
        <v>900000030</v>
      </c>
      <c r="AJ135" s="101" t="s">
        <v>2191</v>
      </c>
      <c r="AK135" s="101" t="s">
        <v>1331</v>
      </c>
      <c r="AL135" s="101" t="s">
        <v>1336</v>
      </c>
      <c r="AM135" s="101"/>
      <c r="AN135" s="101"/>
      <c r="AO135" s="101"/>
      <c r="AP135" s="101"/>
      <c r="AQ135" s="101"/>
      <c r="AR135" s="105"/>
      <c r="AS135" s="171"/>
    </row>
    <row r="136" spans="1:45">
      <c r="A136" s="131" t="s">
        <v>1224</v>
      </c>
      <c r="B136" s="156" t="s">
        <v>1337</v>
      </c>
      <c r="C136" s="156" t="s">
        <v>1321</v>
      </c>
      <c r="D136" s="156" t="s">
        <v>1483</v>
      </c>
      <c r="E136" s="156"/>
      <c r="F136" s="156" t="s">
        <v>1809</v>
      </c>
      <c r="G136" s="157">
        <v>43119</v>
      </c>
      <c r="H136" s="158" t="s">
        <v>1914</v>
      </c>
      <c r="I136" s="158" t="s">
        <v>2058</v>
      </c>
      <c r="J136" s="156" t="s">
        <v>2144</v>
      </c>
      <c r="K136" s="156" t="s">
        <v>2159</v>
      </c>
      <c r="L136" s="156" t="s">
        <v>2168</v>
      </c>
      <c r="M136" s="156">
        <v>8</v>
      </c>
      <c r="N136" s="159">
        <v>469000</v>
      </c>
      <c r="O136" s="160">
        <v>1</v>
      </c>
      <c r="P136" s="160">
        <v>1</v>
      </c>
      <c r="Q136" s="160">
        <v>0</v>
      </c>
      <c r="R136" s="159">
        <v>1</v>
      </c>
      <c r="S136" s="157"/>
      <c r="T136" s="157">
        <v>44286</v>
      </c>
      <c r="U136" s="161">
        <v>185493</v>
      </c>
      <c r="V136" s="158" t="s">
        <v>852</v>
      </c>
      <c r="W136" s="158" t="s">
        <v>627</v>
      </c>
      <c r="X136" s="158" t="s">
        <v>2169</v>
      </c>
      <c r="Y136" s="162" t="s">
        <v>2185</v>
      </c>
      <c r="Z136" s="163" t="s">
        <v>2191</v>
      </c>
      <c r="AA136" s="163">
        <v>1</v>
      </c>
      <c r="AB136" s="163">
        <v>1</v>
      </c>
      <c r="AC136" s="101">
        <v>1</v>
      </c>
      <c r="AD136" s="101">
        <v>1</v>
      </c>
      <c r="AE136" s="101" t="s">
        <v>2201</v>
      </c>
      <c r="AF136" s="102" t="str">
        <f>IF(ISERROR(VLOOKUP(AE136,小分類・セグメント!$A:$C,3,FALSE)),"",VLOOKUP(AE136,小分類・セグメント!$A:$C,3,FALSE))</f>
        <v>ECD</v>
      </c>
      <c r="AG136" s="103" t="str">
        <f>IF(ISERROR(VLOOKUP(AE136,小細分類・事業部マスタ!$E:$H,4,FALSE)),"",VLOOKUP(AE136,小細分類・事業部マスタ!$E:$H,4,FALSE))</f>
        <v>パワーデバイス事業部</v>
      </c>
      <c r="AH136" s="101" t="s">
        <v>2169</v>
      </c>
      <c r="AI136" s="104">
        <f>IF(ISERROR(VLOOKUP(AJ136,設置場所!$A:$B,2,FALSE)),"",VLOOKUP(AJ136,設置場所!$A:$B,2,FALSE))</f>
        <v>900000030</v>
      </c>
      <c r="AJ136" s="101" t="s">
        <v>2191</v>
      </c>
      <c r="AK136" s="101" t="s">
        <v>1331</v>
      </c>
      <c r="AL136" s="101" t="s">
        <v>1336</v>
      </c>
      <c r="AM136" s="101"/>
      <c r="AN136" s="101"/>
      <c r="AO136" s="101"/>
      <c r="AP136" s="101"/>
      <c r="AQ136" s="101"/>
      <c r="AR136" s="105"/>
      <c r="AS136" s="171"/>
    </row>
    <row r="137" spans="1:45">
      <c r="A137" s="131" t="s">
        <v>1224</v>
      </c>
      <c r="B137" s="156" t="s">
        <v>1337</v>
      </c>
      <c r="C137" s="156" t="s">
        <v>1321</v>
      </c>
      <c r="D137" s="156" t="s">
        <v>1484</v>
      </c>
      <c r="E137" s="156"/>
      <c r="F137" s="156" t="s">
        <v>1810</v>
      </c>
      <c r="G137" s="157">
        <v>43136</v>
      </c>
      <c r="H137" s="158" t="s">
        <v>1914</v>
      </c>
      <c r="I137" s="158" t="s">
        <v>2059</v>
      </c>
      <c r="J137" s="156" t="s">
        <v>2142</v>
      </c>
      <c r="K137" s="156" t="s">
        <v>2157</v>
      </c>
      <c r="L137" s="156" t="s">
        <v>2168</v>
      </c>
      <c r="M137" s="156">
        <v>8</v>
      </c>
      <c r="N137" s="159">
        <v>2568713</v>
      </c>
      <c r="O137" s="160">
        <v>1</v>
      </c>
      <c r="P137" s="160">
        <v>1</v>
      </c>
      <c r="Q137" s="160">
        <v>0</v>
      </c>
      <c r="R137" s="159">
        <v>1</v>
      </c>
      <c r="S137" s="157"/>
      <c r="T137" s="157">
        <v>44286</v>
      </c>
      <c r="U137" s="161">
        <v>1038523</v>
      </c>
      <c r="V137" s="158" t="s">
        <v>852</v>
      </c>
      <c r="W137" s="158" t="s">
        <v>627</v>
      </c>
      <c r="X137" s="158" t="s">
        <v>2169</v>
      </c>
      <c r="Y137" s="162" t="s">
        <v>2185</v>
      </c>
      <c r="Z137" s="163" t="s">
        <v>2191</v>
      </c>
      <c r="AA137" s="163">
        <v>1</v>
      </c>
      <c r="AB137" s="163">
        <v>1</v>
      </c>
      <c r="AC137" s="101">
        <v>1</v>
      </c>
      <c r="AD137" s="101">
        <v>1</v>
      </c>
      <c r="AE137" s="101" t="s">
        <v>2201</v>
      </c>
      <c r="AF137" s="102" t="str">
        <f>IF(ISERROR(VLOOKUP(AE137,小分類・セグメント!$A:$C,3,FALSE)),"",VLOOKUP(AE137,小分類・セグメント!$A:$C,3,FALSE))</f>
        <v>ECD</v>
      </c>
      <c r="AG137" s="103" t="str">
        <f>IF(ISERROR(VLOOKUP(AE137,小細分類・事業部マスタ!$E:$H,4,FALSE)),"",VLOOKUP(AE137,小細分類・事業部マスタ!$E:$H,4,FALSE))</f>
        <v>パワーデバイス事業部</v>
      </c>
      <c r="AH137" s="101" t="s">
        <v>2169</v>
      </c>
      <c r="AI137" s="104">
        <f>IF(ISERROR(VLOOKUP(AJ137,設置場所!$A:$B,2,FALSE)),"",VLOOKUP(AJ137,設置場所!$A:$B,2,FALSE))</f>
        <v>900000030</v>
      </c>
      <c r="AJ137" s="101" t="s">
        <v>2191</v>
      </c>
      <c r="AK137" s="101" t="s">
        <v>1331</v>
      </c>
      <c r="AL137" s="101" t="s">
        <v>1336</v>
      </c>
      <c r="AM137" s="101"/>
      <c r="AN137" s="101"/>
      <c r="AO137" s="101"/>
      <c r="AP137" s="101"/>
      <c r="AQ137" s="101"/>
      <c r="AR137" s="105"/>
      <c r="AS137" s="171"/>
    </row>
    <row r="138" spans="1:45">
      <c r="A138" s="131" t="s">
        <v>1224</v>
      </c>
      <c r="B138" s="156" t="s">
        <v>1337</v>
      </c>
      <c r="C138" s="156" t="s">
        <v>1321</v>
      </c>
      <c r="D138" s="156" t="s">
        <v>1485</v>
      </c>
      <c r="E138" s="156"/>
      <c r="F138" s="156" t="s">
        <v>1811</v>
      </c>
      <c r="G138" s="157">
        <v>43144</v>
      </c>
      <c r="H138" s="158" t="s">
        <v>1914</v>
      </c>
      <c r="I138" s="158" t="s">
        <v>2060</v>
      </c>
      <c r="J138" s="156" t="s">
        <v>2142</v>
      </c>
      <c r="K138" s="156" t="s">
        <v>2157</v>
      </c>
      <c r="L138" s="156" t="s">
        <v>2168</v>
      </c>
      <c r="M138" s="156">
        <v>8</v>
      </c>
      <c r="N138" s="159">
        <v>12952567</v>
      </c>
      <c r="O138" s="160">
        <v>1</v>
      </c>
      <c r="P138" s="160">
        <v>1</v>
      </c>
      <c r="Q138" s="160">
        <v>0</v>
      </c>
      <c r="R138" s="159">
        <v>1</v>
      </c>
      <c r="S138" s="157"/>
      <c r="T138" s="157">
        <v>44286</v>
      </c>
      <c r="U138" s="161">
        <v>5236682</v>
      </c>
      <c r="V138" s="158" t="s">
        <v>852</v>
      </c>
      <c r="W138" s="158" t="s">
        <v>627</v>
      </c>
      <c r="X138" s="158" t="s">
        <v>2169</v>
      </c>
      <c r="Y138" s="162" t="s">
        <v>2185</v>
      </c>
      <c r="Z138" s="163" t="s">
        <v>2191</v>
      </c>
      <c r="AA138" s="163">
        <v>1</v>
      </c>
      <c r="AB138" s="163">
        <v>4</v>
      </c>
      <c r="AC138" s="101">
        <v>1</v>
      </c>
      <c r="AD138" s="101">
        <v>4</v>
      </c>
      <c r="AE138" s="101" t="s">
        <v>2201</v>
      </c>
      <c r="AF138" s="102" t="str">
        <f>IF(ISERROR(VLOOKUP(AE138,小分類・セグメント!$A:$C,3,FALSE)),"",VLOOKUP(AE138,小分類・セグメント!$A:$C,3,FALSE))</f>
        <v>ECD</v>
      </c>
      <c r="AG138" s="103" t="str">
        <f>IF(ISERROR(VLOOKUP(AE138,小細分類・事業部マスタ!$E:$H,4,FALSE)),"",VLOOKUP(AE138,小細分類・事業部マスタ!$E:$H,4,FALSE))</f>
        <v>パワーデバイス事業部</v>
      </c>
      <c r="AH138" s="101" t="s">
        <v>2169</v>
      </c>
      <c r="AI138" s="104">
        <f>IF(ISERROR(VLOOKUP(AJ138,設置場所!$A:$B,2,FALSE)),"",VLOOKUP(AJ138,設置場所!$A:$B,2,FALSE))</f>
        <v>900000030</v>
      </c>
      <c r="AJ138" s="101" t="s">
        <v>2191</v>
      </c>
      <c r="AK138" s="101" t="s">
        <v>1331</v>
      </c>
      <c r="AL138" s="101" t="s">
        <v>1336</v>
      </c>
      <c r="AM138" s="101"/>
      <c r="AN138" s="101"/>
      <c r="AO138" s="101"/>
      <c r="AP138" s="101"/>
      <c r="AQ138" s="101"/>
      <c r="AR138" s="105"/>
      <c r="AS138" s="171"/>
    </row>
    <row r="139" spans="1:45">
      <c r="A139" s="131" t="s">
        <v>1224</v>
      </c>
      <c r="B139" s="156" t="s">
        <v>1337</v>
      </c>
      <c r="C139" s="156" t="s">
        <v>1321</v>
      </c>
      <c r="D139" s="156" t="s">
        <v>1486</v>
      </c>
      <c r="E139" s="156"/>
      <c r="F139" s="156" t="s">
        <v>1812</v>
      </c>
      <c r="G139" s="157">
        <v>43140</v>
      </c>
      <c r="H139" s="158" t="s">
        <v>1930</v>
      </c>
      <c r="I139" s="158" t="s">
        <v>2061</v>
      </c>
      <c r="J139" s="156" t="s">
        <v>2142</v>
      </c>
      <c r="K139" s="156" t="s">
        <v>2157</v>
      </c>
      <c r="L139" s="156" t="s">
        <v>2168</v>
      </c>
      <c r="M139" s="156">
        <v>8</v>
      </c>
      <c r="N139" s="159">
        <v>617510</v>
      </c>
      <c r="O139" s="160">
        <v>1</v>
      </c>
      <c r="P139" s="160">
        <v>1</v>
      </c>
      <c r="Q139" s="160">
        <v>0</v>
      </c>
      <c r="R139" s="159">
        <v>1</v>
      </c>
      <c r="S139" s="157"/>
      <c r="T139" s="157">
        <v>44286</v>
      </c>
      <c r="U139" s="161">
        <v>249657</v>
      </c>
      <c r="V139" s="158" t="s">
        <v>852</v>
      </c>
      <c r="W139" s="158" t="s">
        <v>627</v>
      </c>
      <c r="X139" s="158" t="s">
        <v>2169</v>
      </c>
      <c r="Y139" s="162" t="s">
        <v>2185</v>
      </c>
      <c r="Z139" s="163" t="s">
        <v>2191</v>
      </c>
      <c r="AA139" s="163">
        <v>1</v>
      </c>
      <c r="AB139" s="163">
        <v>4</v>
      </c>
      <c r="AC139" s="101">
        <v>1</v>
      </c>
      <c r="AD139" s="101">
        <v>4</v>
      </c>
      <c r="AE139" s="101" t="s">
        <v>2201</v>
      </c>
      <c r="AF139" s="102" t="str">
        <f>IF(ISERROR(VLOOKUP(AE139,小分類・セグメント!$A:$C,3,FALSE)),"",VLOOKUP(AE139,小分類・セグメント!$A:$C,3,FALSE))</f>
        <v>ECD</v>
      </c>
      <c r="AG139" s="103" t="str">
        <f>IF(ISERROR(VLOOKUP(AE139,小細分類・事業部マスタ!$E:$H,4,FALSE)),"",VLOOKUP(AE139,小細分類・事業部マスタ!$E:$H,4,FALSE))</f>
        <v>パワーデバイス事業部</v>
      </c>
      <c r="AH139" s="101" t="s">
        <v>2169</v>
      </c>
      <c r="AI139" s="104">
        <f>IF(ISERROR(VLOOKUP(AJ139,設置場所!$A:$B,2,FALSE)),"",VLOOKUP(AJ139,設置場所!$A:$B,2,FALSE))</f>
        <v>900000030</v>
      </c>
      <c r="AJ139" s="101" t="s">
        <v>2191</v>
      </c>
      <c r="AK139" s="101" t="s">
        <v>1331</v>
      </c>
      <c r="AL139" s="101" t="s">
        <v>1336</v>
      </c>
      <c r="AM139" s="101"/>
      <c r="AN139" s="101"/>
      <c r="AO139" s="101"/>
      <c r="AP139" s="101"/>
      <c r="AQ139" s="101"/>
      <c r="AR139" s="105"/>
      <c r="AS139" s="171"/>
    </row>
    <row r="140" spans="1:45">
      <c r="A140" s="131" t="s">
        <v>1224</v>
      </c>
      <c r="B140" s="156" t="s">
        <v>1337</v>
      </c>
      <c r="C140" s="156" t="s">
        <v>1321</v>
      </c>
      <c r="D140" s="156" t="s">
        <v>1487</v>
      </c>
      <c r="E140" s="156"/>
      <c r="F140" s="156" t="s">
        <v>1813</v>
      </c>
      <c r="G140" s="157">
        <v>43159</v>
      </c>
      <c r="H140" s="158" t="s">
        <v>1931</v>
      </c>
      <c r="I140" s="158" t="s">
        <v>2062</v>
      </c>
      <c r="J140" s="156" t="s">
        <v>2147</v>
      </c>
      <c r="K140" s="156" t="s">
        <v>2162</v>
      </c>
      <c r="L140" s="156" t="s">
        <v>2168</v>
      </c>
      <c r="M140" s="156">
        <v>8</v>
      </c>
      <c r="N140" s="159">
        <v>3000000</v>
      </c>
      <c r="O140" s="160">
        <v>1</v>
      </c>
      <c r="P140" s="160">
        <v>1</v>
      </c>
      <c r="Q140" s="160">
        <v>0</v>
      </c>
      <c r="R140" s="159">
        <v>1</v>
      </c>
      <c r="S140" s="157"/>
      <c r="T140" s="157">
        <v>44286</v>
      </c>
      <c r="U140" s="161">
        <v>1212890</v>
      </c>
      <c r="V140" s="158" t="s">
        <v>852</v>
      </c>
      <c r="W140" s="158" t="s">
        <v>627</v>
      </c>
      <c r="X140" s="158" t="s">
        <v>2172</v>
      </c>
      <c r="Y140" s="162" t="s">
        <v>2185</v>
      </c>
      <c r="Z140" s="163" t="s">
        <v>2191</v>
      </c>
      <c r="AA140" s="163">
        <v>1</v>
      </c>
      <c r="AB140" s="163">
        <v>1</v>
      </c>
      <c r="AC140" s="101">
        <v>1</v>
      </c>
      <c r="AD140" s="101">
        <v>1</v>
      </c>
      <c r="AE140" s="101" t="s">
        <v>2201</v>
      </c>
      <c r="AF140" s="102" t="str">
        <f>IF(ISERROR(VLOOKUP(AE140,小分類・セグメント!$A:$C,3,FALSE)),"",VLOOKUP(AE140,小分類・セグメント!$A:$C,3,FALSE))</f>
        <v>ECD</v>
      </c>
      <c r="AG140" s="103" t="str">
        <f>IF(ISERROR(VLOOKUP(AE140,小細分類・事業部マスタ!$E:$H,4,FALSE)),"",VLOOKUP(AE140,小細分類・事業部マスタ!$E:$H,4,FALSE))</f>
        <v>パワーデバイス事業部</v>
      </c>
      <c r="AH140" s="101" t="s">
        <v>2172</v>
      </c>
      <c r="AI140" s="104">
        <f>IF(ISERROR(VLOOKUP(AJ140,設置場所!$A:$B,2,FALSE)),"",VLOOKUP(AJ140,設置場所!$A:$B,2,FALSE))</f>
        <v>900000030</v>
      </c>
      <c r="AJ140" s="101" t="s">
        <v>2191</v>
      </c>
      <c r="AK140" s="101" t="s">
        <v>1331</v>
      </c>
      <c r="AL140" s="101" t="s">
        <v>1336</v>
      </c>
      <c r="AM140" s="101"/>
      <c r="AN140" s="101"/>
      <c r="AO140" s="101"/>
      <c r="AP140" s="101"/>
      <c r="AQ140" s="101"/>
      <c r="AR140" s="105"/>
      <c r="AS140" s="171"/>
    </row>
    <row r="141" spans="1:45">
      <c r="A141" s="131" t="s">
        <v>1224</v>
      </c>
      <c r="B141" s="156" t="s">
        <v>1337</v>
      </c>
      <c r="C141" s="156" t="s">
        <v>1321</v>
      </c>
      <c r="D141" s="156" t="s">
        <v>1488</v>
      </c>
      <c r="E141" s="156"/>
      <c r="F141" s="156" t="s">
        <v>1814</v>
      </c>
      <c r="G141" s="157">
        <v>43210</v>
      </c>
      <c r="H141" s="158" t="s">
        <v>1932</v>
      </c>
      <c r="I141" s="158" t="s">
        <v>2063</v>
      </c>
      <c r="J141" s="156" t="s">
        <v>2139</v>
      </c>
      <c r="K141" s="156" t="s">
        <v>2154</v>
      </c>
      <c r="L141" s="156" t="s">
        <v>2168</v>
      </c>
      <c r="M141" s="156">
        <v>8</v>
      </c>
      <c r="N141" s="159">
        <v>2200000</v>
      </c>
      <c r="O141" s="160">
        <v>1</v>
      </c>
      <c r="P141" s="160">
        <v>1</v>
      </c>
      <c r="Q141" s="160">
        <v>0</v>
      </c>
      <c r="R141" s="159">
        <v>1</v>
      </c>
      <c r="S141" s="157"/>
      <c r="T141" s="157">
        <v>44286</v>
      </c>
      <c r="U141" s="161">
        <v>928124</v>
      </c>
      <c r="V141" s="158" t="s">
        <v>852</v>
      </c>
      <c r="W141" s="158" t="s">
        <v>627</v>
      </c>
      <c r="X141" s="158" t="s">
        <v>2172</v>
      </c>
      <c r="Y141" s="162" t="s">
        <v>2185</v>
      </c>
      <c r="Z141" s="163" t="s">
        <v>2191</v>
      </c>
      <c r="AA141" s="163">
        <v>1</v>
      </c>
      <c r="AB141" s="163">
        <v>1</v>
      </c>
      <c r="AC141" s="101">
        <v>1</v>
      </c>
      <c r="AD141" s="101">
        <v>1</v>
      </c>
      <c r="AE141" s="101" t="s">
        <v>2201</v>
      </c>
      <c r="AF141" s="102" t="str">
        <f>IF(ISERROR(VLOOKUP(AE141,小分類・セグメント!$A:$C,3,FALSE)),"",VLOOKUP(AE141,小分類・セグメント!$A:$C,3,FALSE))</f>
        <v>ECD</v>
      </c>
      <c r="AG141" s="103" t="str">
        <f>IF(ISERROR(VLOOKUP(AE141,小細分類・事業部マスタ!$E:$H,4,FALSE)),"",VLOOKUP(AE141,小細分類・事業部マスタ!$E:$H,4,FALSE))</f>
        <v>パワーデバイス事業部</v>
      </c>
      <c r="AH141" s="101" t="s">
        <v>2172</v>
      </c>
      <c r="AI141" s="104">
        <f>IF(ISERROR(VLOOKUP(AJ141,設置場所!$A:$B,2,FALSE)),"",VLOOKUP(AJ141,設置場所!$A:$B,2,FALSE))</f>
        <v>900000030</v>
      </c>
      <c r="AJ141" s="101" t="s">
        <v>2191</v>
      </c>
      <c r="AK141" s="101" t="s">
        <v>1331</v>
      </c>
      <c r="AL141" s="101" t="s">
        <v>1336</v>
      </c>
      <c r="AM141" s="101"/>
      <c r="AN141" s="101"/>
      <c r="AO141" s="101"/>
      <c r="AP141" s="101"/>
      <c r="AQ141" s="101"/>
      <c r="AR141" s="105"/>
      <c r="AS141" s="171"/>
    </row>
    <row r="142" spans="1:45">
      <c r="A142" s="131" t="s">
        <v>1224</v>
      </c>
      <c r="B142" s="156" t="s">
        <v>1337</v>
      </c>
      <c r="C142" s="156" t="s">
        <v>1321</v>
      </c>
      <c r="D142" s="156" t="s">
        <v>1489</v>
      </c>
      <c r="E142" s="156"/>
      <c r="F142" s="156" t="s">
        <v>1815</v>
      </c>
      <c r="G142" s="157">
        <v>43221</v>
      </c>
      <c r="H142" s="158" t="s">
        <v>1920</v>
      </c>
      <c r="I142" s="158" t="s">
        <v>2064</v>
      </c>
      <c r="J142" s="156" t="s">
        <v>2138</v>
      </c>
      <c r="K142" s="156" t="s">
        <v>2153</v>
      </c>
      <c r="L142" s="156" t="s">
        <v>2168</v>
      </c>
      <c r="M142" s="156">
        <v>8</v>
      </c>
      <c r="N142" s="159">
        <v>3444655</v>
      </c>
      <c r="O142" s="160">
        <v>1</v>
      </c>
      <c r="P142" s="160">
        <v>1</v>
      </c>
      <c r="Q142" s="160">
        <v>0</v>
      </c>
      <c r="R142" s="159">
        <v>1</v>
      </c>
      <c r="S142" s="157"/>
      <c r="T142" s="157">
        <v>44286</v>
      </c>
      <c r="U142" s="161">
        <v>1493581</v>
      </c>
      <c r="V142" s="158" t="s">
        <v>852</v>
      </c>
      <c r="W142" s="158" t="s">
        <v>627</v>
      </c>
      <c r="X142" s="158" t="s">
        <v>2169</v>
      </c>
      <c r="Y142" s="162" t="s">
        <v>2185</v>
      </c>
      <c r="Z142" s="163" t="s">
        <v>2191</v>
      </c>
      <c r="AA142" s="163">
        <v>1</v>
      </c>
      <c r="AB142" s="163">
        <v>1</v>
      </c>
      <c r="AC142" s="101">
        <v>1</v>
      </c>
      <c r="AD142" s="101">
        <v>1</v>
      </c>
      <c r="AE142" s="101" t="s">
        <v>2201</v>
      </c>
      <c r="AF142" s="102" t="str">
        <f>IF(ISERROR(VLOOKUP(AE142,小分類・セグメント!$A:$C,3,FALSE)),"",VLOOKUP(AE142,小分類・セグメント!$A:$C,3,FALSE))</f>
        <v>ECD</v>
      </c>
      <c r="AG142" s="103" t="str">
        <f>IF(ISERROR(VLOOKUP(AE142,小細分類・事業部マスタ!$E:$H,4,FALSE)),"",VLOOKUP(AE142,小細分類・事業部マスタ!$E:$H,4,FALSE))</f>
        <v>パワーデバイス事業部</v>
      </c>
      <c r="AH142" s="101" t="s">
        <v>2169</v>
      </c>
      <c r="AI142" s="104">
        <f>IF(ISERROR(VLOOKUP(AJ142,設置場所!$A:$B,2,FALSE)),"",VLOOKUP(AJ142,設置場所!$A:$B,2,FALSE))</f>
        <v>900000030</v>
      </c>
      <c r="AJ142" s="101" t="s">
        <v>2191</v>
      </c>
      <c r="AK142" s="101" t="s">
        <v>1331</v>
      </c>
      <c r="AL142" s="101" t="s">
        <v>1336</v>
      </c>
      <c r="AM142" s="101"/>
      <c r="AN142" s="101"/>
      <c r="AO142" s="101"/>
      <c r="AP142" s="101"/>
      <c r="AQ142" s="101"/>
      <c r="AR142" s="105"/>
      <c r="AS142" s="171"/>
    </row>
    <row r="143" spans="1:45">
      <c r="A143" s="131" t="s">
        <v>1224</v>
      </c>
      <c r="B143" s="156" t="s">
        <v>1337</v>
      </c>
      <c r="C143" s="156" t="s">
        <v>1321</v>
      </c>
      <c r="D143" s="156" t="s">
        <v>1490</v>
      </c>
      <c r="E143" s="156"/>
      <c r="F143" s="156" t="s">
        <v>1816</v>
      </c>
      <c r="G143" s="157">
        <v>43252</v>
      </c>
      <c r="H143" s="158" t="s">
        <v>1933</v>
      </c>
      <c r="I143" s="158" t="s">
        <v>2065</v>
      </c>
      <c r="J143" s="156" t="s">
        <v>2146</v>
      </c>
      <c r="K143" s="156" t="s">
        <v>2161</v>
      </c>
      <c r="L143" s="156" t="s">
        <v>2168</v>
      </c>
      <c r="M143" s="156">
        <v>8</v>
      </c>
      <c r="N143" s="159">
        <v>987000</v>
      </c>
      <c r="O143" s="160">
        <v>1</v>
      </c>
      <c r="P143" s="160">
        <v>1</v>
      </c>
      <c r="Q143" s="160">
        <v>0</v>
      </c>
      <c r="R143" s="159">
        <v>1</v>
      </c>
      <c r="S143" s="157"/>
      <c r="T143" s="157">
        <v>44286</v>
      </c>
      <c r="U143" s="161">
        <v>439523</v>
      </c>
      <c r="V143" s="158" t="s">
        <v>852</v>
      </c>
      <c r="W143" s="158" t="s">
        <v>627</v>
      </c>
      <c r="X143" s="158" t="s">
        <v>2169</v>
      </c>
      <c r="Y143" s="162" t="s">
        <v>2185</v>
      </c>
      <c r="Z143" s="163" t="s">
        <v>2191</v>
      </c>
      <c r="AA143" s="163">
        <v>1</v>
      </c>
      <c r="AB143" s="163">
        <v>1</v>
      </c>
      <c r="AC143" s="101">
        <v>1</v>
      </c>
      <c r="AD143" s="101">
        <v>1</v>
      </c>
      <c r="AE143" s="101" t="s">
        <v>2201</v>
      </c>
      <c r="AF143" s="102" t="str">
        <f>IF(ISERROR(VLOOKUP(AE143,小分類・セグメント!$A:$C,3,FALSE)),"",VLOOKUP(AE143,小分類・セグメント!$A:$C,3,FALSE))</f>
        <v>ECD</v>
      </c>
      <c r="AG143" s="103" t="str">
        <f>IF(ISERROR(VLOOKUP(AE143,小細分類・事業部マスタ!$E:$H,4,FALSE)),"",VLOOKUP(AE143,小細分類・事業部マスタ!$E:$H,4,FALSE))</f>
        <v>パワーデバイス事業部</v>
      </c>
      <c r="AH143" s="101" t="s">
        <v>2169</v>
      </c>
      <c r="AI143" s="104">
        <f>IF(ISERROR(VLOOKUP(AJ143,設置場所!$A:$B,2,FALSE)),"",VLOOKUP(AJ143,設置場所!$A:$B,2,FALSE))</f>
        <v>900000030</v>
      </c>
      <c r="AJ143" s="101" t="s">
        <v>2191</v>
      </c>
      <c r="AK143" s="101" t="s">
        <v>1331</v>
      </c>
      <c r="AL143" s="101" t="s">
        <v>1336</v>
      </c>
      <c r="AM143" s="101"/>
      <c r="AN143" s="101"/>
      <c r="AO143" s="101"/>
      <c r="AP143" s="101"/>
      <c r="AQ143" s="101"/>
      <c r="AR143" s="105"/>
      <c r="AS143" s="171"/>
    </row>
    <row r="144" spans="1:45">
      <c r="A144" s="131" t="s">
        <v>1224</v>
      </c>
      <c r="B144" s="156" t="s">
        <v>1337</v>
      </c>
      <c r="C144" s="156" t="s">
        <v>1321</v>
      </c>
      <c r="D144" s="156" t="s">
        <v>1491</v>
      </c>
      <c r="E144" s="156"/>
      <c r="F144" s="156" t="s">
        <v>1817</v>
      </c>
      <c r="G144" s="157">
        <v>43277</v>
      </c>
      <c r="H144" s="158" t="s">
        <v>1934</v>
      </c>
      <c r="I144" s="158" t="s">
        <v>2066</v>
      </c>
      <c r="J144" s="156" t="s">
        <v>2146</v>
      </c>
      <c r="K144" s="156" t="s">
        <v>2161</v>
      </c>
      <c r="L144" s="156" t="s">
        <v>2168</v>
      </c>
      <c r="M144" s="156">
        <v>8</v>
      </c>
      <c r="N144" s="159">
        <v>1700000</v>
      </c>
      <c r="O144" s="160">
        <v>1</v>
      </c>
      <c r="P144" s="160">
        <v>1</v>
      </c>
      <c r="Q144" s="160">
        <v>0</v>
      </c>
      <c r="R144" s="159">
        <v>1</v>
      </c>
      <c r="S144" s="157"/>
      <c r="T144" s="157">
        <v>44286</v>
      </c>
      <c r="U144" s="161">
        <v>757031</v>
      </c>
      <c r="V144" s="158" t="s">
        <v>852</v>
      </c>
      <c r="W144" s="158" t="s">
        <v>627</v>
      </c>
      <c r="X144" s="158" t="s">
        <v>2169</v>
      </c>
      <c r="Y144" s="162" t="s">
        <v>2185</v>
      </c>
      <c r="Z144" s="163" t="s">
        <v>2191</v>
      </c>
      <c r="AA144" s="163">
        <v>1</v>
      </c>
      <c r="AB144" s="163">
        <v>1</v>
      </c>
      <c r="AC144" s="101">
        <v>1</v>
      </c>
      <c r="AD144" s="101">
        <v>1</v>
      </c>
      <c r="AE144" s="101" t="s">
        <v>2201</v>
      </c>
      <c r="AF144" s="102" t="str">
        <f>IF(ISERROR(VLOOKUP(AE144,小分類・セグメント!$A:$C,3,FALSE)),"",VLOOKUP(AE144,小分類・セグメント!$A:$C,3,FALSE))</f>
        <v>ECD</v>
      </c>
      <c r="AG144" s="103" t="str">
        <f>IF(ISERROR(VLOOKUP(AE144,小細分類・事業部マスタ!$E:$H,4,FALSE)),"",VLOOKUP(AE144,小細分類・事業部マスタ!$E:$H,4,FALSE))</f>
        <v>パワーデバイス事業部</v>
      </c>
      <c r="AH144" s="101" t="s">
        <v>2169</v>
      </c>
      <c r="AI144" s="104">
        <f>IF(ISERROR(VLOOKUP(AJ144,設置場所!$A:$B,2,FALSE)),"",VLOOKUP(AJ144,設置場所!$A:$B,2,FALSE))</f>
        <v>900000030</v>
      </c>
      <c r="AJ144" s="101" t="s">
        <v>2191</v>
      </c>
      <c r="AK144" s="101" t="s">
        <v>1331</v>
      </c>
      <c r="AL144" s="101" t="s">
        <v>1336</v>
      </c>
      <c r="AM144" s="101"/>
      <c r="AN144" s="101"/>
      <c r="AO144" s="101"/>
      <c r="AP144" s="101"/>
      <c r="AQ144" s="101"/>
      <c r="AR144" s="105"/>
      <c r="AS144" s="171"/>
    </row>
    <row r="145" spans="1:45">
      <c r="A145" s="131" t="s">
        <v>1224</v>
      </c>
      <c r="B145" s="156" t="s">
        <v>1337</v>
      </c>
      <c r="C145" s="156" t="s">
        <v>1321</v>
      </c>
      <c r="D145" s="156" t="s">
        <v>1492</v>
      </c>
      <c r="E145" s="156"/>
      <c r="F145" s="156" t="s">
        <v>1818</v>
      </c>
      <c r="G145" s="157">
        <v>43430</v>
      </c>
      <c r="H145" s="158" t="s">
        <v>1929</v>
      </c>
      <c r="I145" s="158" t="s">
        <v>2067</v>
      </c>
      <c r="J145" s="156" t="s">
        <v>2140</v>
      </c>
      <c r="K145" s="156" t="s">
        <v>2155</v>
      </c>
      <c r="L145" s="156" t="s">
        <v>2168</v>
      </c>
      <c r="M145" s="156">
        <v>8</v>
      </c>
      <c r="N145" s="159">
        <v>551000</v>
      </c>
      <c r="O145" s="160">
        <v>1</v>
      </c>
      <c r="P145" s="160">
        <v>1</v>
      </c>
      <c r="Q145" s="160">
        <v>0</v>
      </c>
      <c r="R145" s="159">
        <v>1</v>
      </c>
      <c r="S145" s="157"/>
      <c r="T145" s="157">
        <v>44286</v>
      </c>
      <c r="U145" s="161">
        <v>277652</v>
      </c>
      <c r="V145" s="158" t="s">
        <v>852</v>
      </c>
      <c r="W145" s="158" t="s">
        <v>627</v>
      </c>
      <c r="X145" s="158" t="s">
        <v>2172</v>
      </c>
      <c r="Y145" s="162" t="s">
        <v>2185</v>
      </c>
      <c r="Z145" s="163" t="s">
        <v>2191</v>
      </c>
      <c r="AA145" s="163">
        <v>1</v>
      </c>
      <c r="AB145" s="163">
        <v>1</v>
      </c>
      <c r="AC145" s="101">
        <v>1</v>
      </c>
      <c r="AD145" s="101">
        <v>1</v>
      </c>
      <c r="AE145" s="101" t="s">
        <v>2201</v>
      </c>
      <c r="AF145" s="102" t="str">
        <f>IF(ISERROR(VLOOKUP(AE145,小分類・セグメント!$A:$C,3,FALSE)),"",VLOOKUP(AE145,小分類・セグメント!$A:$C,3,FALSE))</f>
        <v>ECD</v>
      </c>
      <c r="AG145" s="103" t="str">
        <f>IF(ISERROR(VLOOKUP(AE145,小細分類・事業部マスタ!$E:$H,4,FALSE)),"",VLOOKUP(AE145,小細分類・事業部マスタ!$E:$H,4,FALSE))</f>
        <v>パワーデバイス事業部</v>
      </c>
      <c r="AH145" s="101" t="s">
        <v>2172</v>
      </c>
      <c r="AI145" s="104">
        <f>IF(ISERROR(VLOOKUP(AJ145,設置場所!$A:$B,2,FALSE)),"",VLOOKUP(AJ145,設置場所!$A:$B,2,FALSE))</f>
        <v>900000030</v>
      </c>
      <c r="AJ145" s="101" t="s">
        <v>2191</v>
      </c>
      <c r="AK145" s="101" t="s">
        <v>1331</v>
      </c>
      <c r="AL145" s="101" t="s">
        <v>1336</v>
      </c>
      <c r="AM145" s="101"/>
      <c r="AN145" s="101"/>
      <c r="AO145" s="101"/>
      <c r="AP145" s="101"/>
      <c r="AQ145" s="101"/>
      <c r="AR145" s="105"/>
      <c r="AS145" s="171"/>
    </row>
    <row r="146" spans="1:45">
      <c r="A146" s="131" t="s">
        <v>1224</v>
      </c>
      <c r="B146" s="156" t="s">
        <v>1337</v>
      </c>
      <c r="C146" s="156" t="s">
        <v>1321</v>
      </c>
      <c r="D146" s="156" t="s">
        <v>1493</v>
      </c>
      <c r="E146" s="156"/>
      <c r="F146" s="156" t="s">
        <v>1818</v>
      </c>
      <c r="G146" s="157">
        <v>43430</v>
      </c>
      <c r="H146" s="158" t="s">
        <v>1929</v>
      </c>
      <c r="I146" s="158" t="s">
        <v>2067</v>
      </c>
      <c r="J146" s="156" t="s">
        <v>2140</v>
      </c>
      <c r="K146" s="156" t="s">
        <v>2155</v>
      </c>
      <c r="L146" s="156" t="s">
        <v>2168</v>
      </c>
      <c r="M146" s="156">
        <v>8</v>
      </c>
      <c r="N146" s="159">
        <v>551000</v>
      </c>
      <c r="O146" s="160">
        <v>1</v>
      </c>
      <c r="P146" s="160">
        <v>1</v>
      </c>
      <c r="Q146" s="160">
        <v>0</v>
      </c>
      <c r="R146" s="159">
        <v>1</v>
      </c>
      <c r="S146" s="157"/>
      <c r="T146" s="157">
        <v>44286</v>
      </c>
      <c r="U146" s="161">
        <v>277652</v>
      </c>
      <c r="V146" s="158" t="s">
        <v>852</v>
      </c>
      <c r="W146" s="158" t="s">
        <v>627</v>
      </c>
      <c r="X146" s="158" t="s">
        <v>2172</v>
      </c>
      <c r="Y146" s="162" t="s">
        <v>2185</v>
      </c>
      <c r="Z146" s="163" t="s">
        <v>2191</v>
      </c>
      <c r="AA146" s="163">
        <v>1</v>
      </c>
      <c r="AB146" s="163">
        <v>1</v>
      </c>
      <c r="AC146" s="101">
        <v>1</v>
      </c>
      <c r="AD146" s="101">
        <v>1</v>
      </c>
      <c r="AE146" s="101" t="s">
        <v>2201</v>
      </c>
      <c r="AF146" s="102" t="str">
        <f>IF(ISERROR(VLOOKUP(AE146,小分類・セグメント!$A:$C,3,FALSE)),"",VLOOKUP(AE146,小分類・セグメント!$A:$C,3,FALSE))</f>
        <v>ECD</v>
      </c>
      <c r="AG146" s="103" t="str">
        <f>IF(ISERROR(VLOOKUP(AE146,小細分類・事業部マスタ!$E:$H,4,FALSE)),"",VLOOKUP(AE146,小細分類・事業部マスタ!$E:$H,4,FALSE))</f>
        <v>パワーデバイス事業部</v>
      </c>
      <c r="AH146" s="101" t="s">
        <v>2172</v>
      </c>
      <c r="AI146" s="104">
        <f>IF(ISERROR(VLOOKUP(AJ146,設置場所!$A:$B,2,FALSE)),"",VLOOKUP(AJ146,設置場所!$A:$B,2,FALSE))</f>
        <v>900000030</v>
      </c>
      <c r="AJ146" s="101" t="s">
        <v>2191</v>
      </c>
      <c r="AK146" s="101" t="s">
        <v>1331</v>
      </c>
      <c r="AL146" s="101" t="s">
        <v>1336</v>
      </c>
      <c r="AM146" s="101"/>
      <c r="AN146" s="101"/>
      <c r="AO146" s="101"/>
      <c r="AP146" s="101"/>
      <c r="AQ146" s="101"/>
      <c r="AR146" s="105"/>
      <c r="AS146" s="171"/>
    </row>
    <row r="147" spans="1:45">
      <c r="A147" s="131" t="s">
        <v>1224</v>
      </c>
      <c r="B147" s="156" t="s">
        <v>1337</v>
      </c>
      <c r="C147" s="156" t="s">
        <v>1321</v>
      </c>
      <c r="D147" s="156" t="s">
        <v>1494</v>
      </c>
      <c r="E147" s="156"/>
      <c r="F147" s="156" t="s">
        <v>1818</v>
      </c>
      <c r="G147" s="157">
        <v>43430</v>
      </c>
      <c r="H147" s="158" t="s">
        <v>1929</v>
      </c>
      <c r="I147" s="158" t="s">
        <v>2067</v>
      </c>
      <c r="J147" s="156" t="s">
        <v>2140</v>
      </c>
      <c r="K147" s="156" t="s">
        <v>2155</v>
      </c>
      <c r="L147" s="156" t="s">
        <v>2168</v>
      </c>
      <c r="M147" s="156">
        <v>8</v>
      </c>
      <c r="N147" s="159">
        <v>551000</v>
      </c>
      <c r="O147" s="160">
        <v>1</v>
      </c>
      <c r="P147" s="160">
        <v>1</v>
      </c>
      <c r="Q147" s="160">
        <v>0</v>
      </c>
      <c r="R147" s="159">
        <v>1</v>
      </c>
      <c r="S147" s="157"/>
      <c r="T147" s="157">
        <v>44286</v>
      </c>
      <c r="U147" s="161">
        <v>277652</v>
      </c>
      <c r="V147" s="158" t="s">
        <v>852</v>
      </c>
      <c r="W147" s="158" t="s">
        <v>627</v>
      </c>
      <c r="X147" s="158" t="s">
        <v>2172</v>
      </c>
      <c r="Y147" s="162" t="s">
        <v>2185</v>
      </c>
      <c r="Z147" s="163" t="s">
        <v>2191</v>
      </c>
      <c r="AA147" s="163">
        <v>1</v>
      </c>
      <c r="AB147" s="163">
        <v>1</v>
      </c>
      <c r="AC147" s="101">
        <v>1</v>
      </c>
      <c r="AD147" s="101">
        <v>1</v>
      </c>
      <c r="AE147" s="101" t="s">
        <v>2201</v>
      </c>
      <c r="AF147" s="102" t="str">
        <f>IF(ISERROR(VLOOKUP(AE147,小分類・セグメント!$A:$C,3,FALSE)),"",VLOOKUP(AE147,小分類・セグメント!$A:$C,3,FALSE))</f>
        <v>ECD</v>
      </c>
      <c r="AG147" s="103" t="str">
        <f>IF(ISERROR(VLOOKUP(AE147,小細分類・事業部マスタ!$E:$H,4,FALSE)),"",VLOOKUP(AE147,小細分類・事業部マスタ!$E:$H,4,FALSE))</f>
        <v>パワーデバイス事業部</v>
      </c>
      <c r="AH147" s="101" t="s">
        <v>2172</v>
      </c>
      <c r="AI147" s="104">
        <f>IF(ISERROR(VLOOKUP(AJ147,設置場所!$A:$B,2,FALSE)),"",VLOOKUP(AJ147,設置場所!$A:$B,2,FALSE))</f>
        <v>900000030</v>
      </c>
      <c r="AJ147" s="101" t="s">
        <v>2191</v>
      </c>
      <c r="AK147" s="101" t="s">
        <v>1331</v>
      </c>
      <c r="AL147" s="101" t="s">
        <v>1336</v>
      </c>
      <c r="AM147" s="101"/>
      <c r="AN147" s="101"/>
      <c r="AO147" s="101"/>
      <c r="AP147" s="101"/>
      <c r="AQ147" s="101"/>
      <c r="AR147" s="105"/>
      <c r="AS147" s="171"/>
    </row>
    <row r="148" spans="1:45">
      <c r="A148" s="131" t="s">
        <v>1224</v>
      </c>
      <c r="B148" s="156" t="s">
        <v>1337</v>
      </c>
      <c r="C148" s="156" t="s">
        <v>1321</v>
      </c>
      <c r="D148" s="156" t="s">
        <v>1495</v>
      </c>
      <c r="E148" s="156"/>
      <c r="F148" s="156" t="s">
        <v>1819</v>
      </c>
      <c r="G148" s="157">
        <v>43437</v>
      </c>
      <c r="H148" s="158" t="s">
        <v>1925</v>
      </c>
      <c r="I148" s="158" t="s">
        <v>2025</v>
      </c>
      <c r="J148" s="156" t="s">
        <v>2144</v>
      </c>
      <c r="K148" s="156" t="s">
        <v>2159</v>
      </c>
      <c r="L148" s="156" t="s">
        <v>2168</v>
      </c>
      <c r="M148" s="156">
        <v>8</v>
      </c>
      <c r="N148" s="159">
        <v>64659944</v>
      </c>
      <c r="O148" s="160">
        <v>1</v>
      </c>
      <c r="P148" s="160">
        <v>1</v>
      </c>
      <c r="Q148" s="160">
        <v>0</v>
      </c>
      <c r="R148" s="159">
        <v>1</v>
      </c>
      <c r="S148" s="157"/>
      <c r="T148" s="157">
        <v>44286</v>
      </c>
      <c r="U148" s="161">
        <v>33340283</v>
      </c>
      <c r="V148" s="158" t="s">
        <v>852</v>
      </c>
      <c r="W148" s="158" t="s">
        <v>627</v>
      </c>
      <c r="X148" s="158" t="s">
        <v>2169</v>
      </c>
      <c r="Y148" s="162" t="s">
        <v>2185</v>
      </c>
      <c r="Z148" s="163" t="s">
        <v>2191</v>
      </c>
      <c r="AA148" s="163">
        <v>1</v>
      </c>
      <c r="AB148" s="163">
        <v>1</v>
      </c>
      <c r="AC148" s="101">
        <v>1</v>
      </c>
      <c r="AD148" s="101">
        <v>1</v>
      </c>
      <c r="AE148" s="101" t="s">
        <v>2201</v>
      </c>
      <c r="AF148" s="102" t="str">
        <f>IF(ISERROR(VLOOKUP(AE148,小分類・セグメント!$A:$C,3,FALSE)),"",VLOOKUP(AE148,小分類・セグメント!$A:$C,3,FALSE))</f>
        <v>ECD</v>
      </c>
      <c r="AG148" s="103" t="str">
        <f>IF(ISERROR(VLOOKUP(AE148,小細分類・事業部マスタ!$E:$H,4,FALSE)),"",VLOOKUP(AE148,小細分類・事業部マスタ!$E:$H,4,FALSE))</f>
        <v>パワーデバイス事業部</v>
      </c>
      <c r="AH148" s="101" t="s">
        <v>2169</v>
      </c>
      <c r="AI148" s="104">
        <f>IF(ISERROR(VLOOKUP(AJ148,設置場所!$A:$B,2,FALSE)),"",VLOOKUP(AJ148,設置場所!$A:$B,2,FALSE))</f>
        <v>900000030</v>
      </c>
      <c r="AJ148" s="101" t="s">
        <v>2191</v>
      </c>
      <c r="AK148" s="101" t="s">
        <v>1331</v>
      </c>
      <c r="AL148" s="101" t="s">
        <v>1336</v>
      </c>
      <c r="AM148" s="101"/>
      <c r="AN148" s="101"/>
      <c r="AO148" s="101"/>
      <c r="AP148" s="101"/>
      <c r="AQ148" s="101"/>
      <c r="AR148" s="105"/>
      <c r="AS148" s="171"/>
    </row>
    <row r="149" spans="1:45">
      <c r="A149" s="131" t="s">
        <v>1224</v>
      </c>
      <c r="B149" s="156" t="s">
        <v>1337</v>
      </c>
      <c r="C149" s="156" t="s">
        <v>1321</v>
      </c>
      <c r="D149" s="156" t="s">
        <v>1496</v>
      </c>
      <c r="E149" s="156"/>
      <c r="F149" s="156" t="s">
        <v>1820</v>
      </c>
      <c r="G149" s="157">
        <v>43437</v>
      </c>
      <c r="H149" s="158" t="s">
        <v>1914</v>
      </c>
      <c r="I149" s="158" t="s">
        <v>2025</v>
      </c>
      <c r="J149" s="156" t="s">
        <v>2144</v>
      </c>
      <c r="K149" s="156" t="s">
        <v>2159</v>
      </c>
      <c r="L149" s="156" t="s">
        <v>2168</v>
      </c>
      <c r="M149" s="156">
        <v>8</v>
      </c>
      <c r="N149" s="159">
        <v>462500</v>
      </c>
      <c r="O149" s="160">
        <v>1</v>
      </c>
      <c r="P149" s="160">
        <v>1</v>
      </c>
      <c r="Q149" s="160">
        <v>0</v>
      </c>
      <c r="R149" s="159">
        <v>1</v>
      </c>
      <c r="S149" s="157"/>
      <c r="T149" s="157">
        <v>44286</v>
      </c>
      <c r="U149" s="161">
        <v>238477</v>
      </c>
      <c r="V149" s="158" t="s">
        <v>852</v>
      </c>
      <c r="W149" s="158" t="s">
        <v>627</v>
      </c>
      <c r="X149" s="158" t="s">
        <v>2169</v>
      </c>
      <c r="Y149" s="162" t="s">
        <v>2185</v>
      </c>
      <c r="Z149" s="163" t="s">
        <v>2191</v>
      </c>
      <c r="AA149" s="163">
        <v>1</v>
      </c>
      <c r="AB149" s="163">
        <v>1</v>
      </c>
      <c r="AC149" s="101">
        <v>1</v>
      </c>
      <c r="AD149" s="101">
        <v>1</v>
      </c>
      <c r="AE149" s="101" t="s">
        <v>2201</v>
      </c>
      <c r="AF149" s="102" t="str">
        <f>IF(ISERROR(VLOOKUP(AE149,小分類・セグメント!$A:$C,3,FALSE)),"",VLOOKUP(AE149,小分類・セグメント!$A:$C,3,FALSE))</f>
        <v>ECD</v>
      </c>
      <c r="AG149" s="103" t="str">
        <f>IF(ISERROR(VLOOKUP(AE149,小細分類・事業部マスタ!$E:$H,4,FALSE)),"",VLOOKUP(AE149,小細分類・事業部マスタ!$E:$H,4,FALSE))</f>
        <v>パワーデバイス事業部</v>
      </c>
      <c r="AH149" s="101" t="s">
        <v>2169</v>
      </c>
      <c r="AI149" s="104">
        <f>IF(ISERROR(VLOOKUP(AJ149,設置場所!$A:$B,2,FALSE)),"",VLOOKUP(AJ149,設置場所!$A:$B,2,FALSE))</f>
        <v>900000030</v>
      </c>
      <c r="AJ149" s="101" t="s">
        <v>2191</v>
      </c>
      <c r="AK149" s="101" t="s">
        <v>1331</v>
      </c>
      <c r="AL149" s="101" t="s">
        <v>1336</v>
      </c>
      <c r="AM149" s="101"/>
      <c r="AN149" s="101"/>
      <c r="AO149" s="101"/>
      <c r="AP149" s="101"/>
      <c r="AQ149" s="101"/>
      <c r="AR149" s="105"/>
      <c r="AS149" s="171"/>
    </row>
    <row r="150" spans="1:45">
      <c r="A150" s="131" t="s">
        <v>1224</v>
      </c>
      <c r="B150" s="156" t="s">
        <v>1337</v>
      </c>
      <c r="C150" s="156" t="s">
        <v>1321</v>
      </c>
      <c r="D150" s="156" t="s">
        <v>1497</v>
      </c>
      <c r="E150" s="156"/>
      <c r="F150" s="156" t="s">
        <v>1821</v>
      </c>
      <c r="G150" s="157">
        <v>43437</v>
      </c>
      <c r="H150" s="158" t="s">
        <v>1914</v>
      </c>
      <c r="I150" s="158" t="s">
        <v>2025</v>
      </c>
      <c r="J150" s="156" t="s">
        <v>2144</v>
      </c>
      <c r="K150" s="156" t="s">
        <v>2159</v>
      </c>
      <c r="L150" s="156" t="s">
        <v>2168</v>
      </c>
      <c r="M150" s="156">
        <v>8</v>
      </c>
      <c r="N150" s="159">
        <v>462500</v>
      </c>
      <c r="O150" s="160">
        <v>1</v>
      </c>
      <c r="P150" s="160">
        <v>1</v>
      </c>
      <c r="Q150" s="160">
        <v>0</v>
      </c>
      <c r="R150" s="159">
        <v>1</v>
      </c>
      <c r="S150" s="157"/>
      <c r="T150" s="157">
        <v>44286</v>
      </c>
      <c r="U150" s="161">
        <v>238477</v>
      </c>
      <c r="V150" s="158" t="s">
        <v>852</v>
      </c>
      <c r="W150" s="158" t="s">
        <v>627</v>
      </c>
      <c r="X150" s="158" t="s">
        <v>2169</v>
      </c>
      <c r="Y150" s="162" t="s">
        <v>2185</v>
      </c>
      <c r="Z150" s="163" t="s">
        <v>2191</v>
      </c>
      <c r="AA150" s="163">
        <v>1</v>
      </c>
      <c r="AB150" s="163">
        <v>1</v>
      </c>
      <c r="AC150" s="101">
        <v>1</v>
      </c>
      <c r="AD150" s="101">
        <v>1</v>
      </c>
      <c r="AE150" s="101" t="s">
        <v>2201</v>
      </c>
      <c r="AF150" s="102" t="str">
        <f>IF(ISERROR(VLOOKUP(AE150,小分類・セグメント!$A:$C,3,FALSE)),"",VLOOKUP(AE150,小分類・セグメント!$A:$C,3,FALSE))</f>
        <v>ECD</v>
      </c>
      <c r="AG150" s="103" t="str">
        <f>IF(ISERROR(VLOOKUP(AE150,小細分類・事業部マスタ!$E:$H,4,FALSE)),"",VLOOKUP(AE150,小細分類・事業部マスタ!$E:$H,4,FALSE))</f>
        <v>パワーデバイス事業部</v>
      </c>
      <c r="AH150" s="101" t="s">
        <v>2169</v>
      </c>
      <c r="AI150" s="104">
        <f>IF(ISERROR(VLOOKUP(AJ150,設置場所!$A:$B,2,FALSE)),"",VLOOKUP(AJ150,設置場所!$A:$B,2,FALSE))</f>
        <v>900000030</v>
      </c>
      <c r="AJ150" s="101" t="s">
        <v>2191</v>
      </c>
      <c r="AK150" s="101" t="s">
        <v>1331</v>
      </c>
      <c r="AL150" s="101" t="s">
        <v>1336</v>
      </c>
      <c r="AM150" s="101"/>
      <c r="AN150" s="101"/>
      <c r="AO150" s="101"/>
      <c r="AP150" s="101"/>
      <c r="AQ150" s="101"/>
      <c r="AR150" s="105"/>
      <c r="AS150" s="171"/>
    </row>
    <row r="151" spans="1:45">
      <c r="A151" s="131" t="s">
        <v>1224</v>
      </c>
      <c r="B151" s="156" t="s">
        <v>1337</v>
      </c>
      <c r="C151" s="156" t="s">
        <v>1321</v>
      </c>
      <c r="D151" s="156" t="s">
        <v>1498</v>
      </c>
      <c r="E151" s="156"/>
      <c r="F151" s="156" t="s">
        <v>1822</v>
      </c>
      <c r="G151" s="157">
        <v>43437</v>
      </c>
      <c r="H151" s="158" t="s">
        <v>1924</v>
      </c>
      <c r="I151" s="158" t="s">
        <v>2025</v>
      </c>
      <c r="J151" s="156" t="s">
        <v>2135</v>
      </c>
      <c r="K151" s="156" t="s">
        <v>2150</v>
      </c>
      <c r="L151" s="156" t="s">
        <v>2168</v>
      </c>
      <c r="M151" s="156">
        <v>8</v>
      </c>
      <c r="N151" s="159">
        <v>137733800</v>
      </c>
      <c r="O151" s="160">
        <v>1</v>
      </c>
      <c r="P151" s="160">
        <v>1</v>
      </c>
      <c r="Q151" s="160">
        <v>0</v>
      </c>
      <c r="R151" s="159">
        <v>1</v>
      </c>
      <c r="S151" s="157"/>
      <c r="T151" s="157">
        <v>44286</v>
      </c>
      <c r="U151" s="161">
        <v>71018990</v>
      </c>
      <c r="V151" s="158" t="s">
        <v>852</v>
      </c>
      <c r="W151" s="158" t="s">
        <v>627</v>
      </c>
      <c r="X151" s="158" t="s">
        <v>2169</v>
      </c>
      <c r="Y151" s="162" t="s">
        <v>2185</v>
      </c>
      <c r="Z151" s="163" t="s">
        <v>2191</v>
      </c>
      <c r="AA151" s="163">
        <v>1</v>
      </c>
      <c r="AB151" s="163">
        <v>1</v>
      </c>
      <c r="AC151" s="101">
        <v>1</v>
      </c>
      <c r="AD151" s="101">
        <v>1</v>
      </c>
      <c r="AE151" s="101" t="s">
        <v>2201</v>
      </c>
      <c r="AF151" s="102" t="str">
        <f>IF(ISERROR(VLOOKUP(AE151,小分類・セグメント!$A:$C,3,FALSE)),"",VLOOKUP(AE151,小分類・セグメント!$A:$C,3,FALSE))</f>
        <v>ECD</v>
      </c>
      <c r="AG151" s="103" t="str">
        <f>IF(ISERROR(VLOOKUP(AE151,小細分類・事業部マスタ!$E:$H,4,FALSE)),"",VLOOKUP(AE151,小細分類・事業部マスタ!$E:$H,4,FALSE))</f>
        <v>パワーデバイス事業部</v>
      </c>
      <c r="AH151" s="101" t="s">
        <v>2169</v>
      </c>
      <c r="AI151" s="104">
        <f>IF(ISERROR(VLOOKUP(AJ151,設置場所!$A:$B,2,FALSE)),"",VLOOKUP(AJ151,設置場所!$A:$B,2,FALSE))</f>
        <v>900000030</v>
      </c>
      <c r="AJ151" s="101" t="s">
        <v>2191</v>
      </c>
      <c r="AK151" s="101" t="s">
        <v>1331</v>
      </c>
      <c r="AL151" s="101" t="s">
        <v>1336</v>
      </c>
      <c r="AM151" s="101"/>
      <c r="AN151" s="101"/>
      <c r="AO151" s="101"/>
      <c r="AP151" s="101"/>
      <c r="AQ151" s="101"/>
      <c r="AR151" s="105"/>
      <c r="AS151" s="171"/>
    </row>
    <row r="152" spans="1:45">
      <c r="A152" s="131" t="s">
        <v>1224</v>
      </c>
      <c r="B152" s="156" t="s">
        <v>1337</v>
      </c>
      <c r="C152" s="156" t="s">
        <v>1321</v>
      </c>
      <c r="D152" s="156" t="s">
        <v>1499</v>
      </c>
      <c r="E152" s="156"/>
      <c r="F152" s="156" t="s">
        <v>1823</v>
      </c>
      <c r="G152" s="157">
        <v>43437</v>
      </c>
      <c r="H152" s="158" t="s">
        <v>1935</v>
      </c>
      <c r="I152" s="158" t="s">
        <v>2068</v>
      </c>
      <c r="J152" s="156" t="s">
        <v>2135</v>
      </c>
      <c r="K152" s="156" t="s">
        <v>2150</v>
      </c>
      <c r="L152" s="156" t="s">
        <v>2168</v>
      </c>
      <c r="M152" s="156">
        <v>8</v>
      </c>
      <c r="N152" s="159">
        <v>6490000</v>
      </c>
      <c r="O152" s="160">
        <v>1</v>
      </c>
      <c r="P152" s="160">
        <v>1</v>
      </c>
      <c r="Q152" s="160">
        <v>0</v>
      </c>
      <c r="R152" s="159">
        <v>1</v>
      </c>
      <c r="S152" s="157"/>
      <c r="T152" s="157">
        <v>44286</v>
      </c>
      <c r="U152" s="161">
        <v>3346406</v>
      </c>
      <c r="V152" s="158" t="s">
        <v>852</v>
      </c>
      <c r="W152" s="158" t="s">
        <v>627</v>
      </c>
      <c r="X152" s="158" t="s">
        <v>2169</v>
      </c>
      <c r="Y152" s="162" t="s">
        <v>2185</v>
      </c>
      <c r="Z152" s="163" t="s">
        <v>2191</v>
      </c>
      <c r="AA152" s="163">
        <v>1</v>
      </c>
      <c r="AB152" s="163">
        <v>1</v>
      </c>
      <c r="AC152" s="101">
        <v>1</v>
      </c>
      <c r="AD152" s="101">
        <v>1</v>
      </c>
      <c r="AE152" s="101" t="s">
        <v>2201</v>
      </c>
      <c r="AF152" s="102" t="str">
        <f>IF(ISERROR(VLOOKUP(AE152,小分類・セグメント!$A:$C,3,FALSE)),"",VLOOKUP(AE152,小分類・セグメント!$A:$C,3,FALSE))</f>
        <v>ECD</v>
      </c>
      <c r="AG152" s="103" t="str">
        <f>IF(ISERROR(VLOOKUP(AE152,小細分類・事業部マスタ!$E:$H,4,FALSE)),"",VLOOKUP(AE152,小細分類・事業部マスタ!$E:$H,4,FALSE))</f>
        <v>パワーデバイス事業部</v>
      </c>
      <c r="AH152" s="101" t="s">
        <v>2169</v>
      </c>
      <c r="AI152" s="104">
        <f>IF(ISERROR(VLOOKUP(AJ152,設置場所!$A:$B,2,FALSE)),"",VLOOKUP(AJ152,設置場所!$A:$B,2,FALSE))</f>
        <v>900000030</v>
      </c>
      <c r="AJ152" s="101" t="s">
        <v>2191</v>
      </c>
      <c r="AK152" s="101" t="s">
        <v>1331</v>
      </c>
      <c r="AL152" s="101" t="s">
        <v>1336</v>
      </c>
      <c r="AM152" s="101"/>
      <c r="AN152" s="101"/>
      <c r="AO152" s="101"/>
      <c r="AP152" s="101"/>
      <c r="AQ152" s="101"/>
      <c r="AR152" s="105"/>
      <c r="AS152" s="171"/>
    </row>
    <row r="153" spans="1:45">
      <c r="A153" s="131" t="s">
        <v>1224</v>
      </c>
      <c r="B153" s="156" t="s">
        <v>1337</v>
      </c>
      <c r="C153" s="156" t="s">
        <v>1321</v>
      </c>
      <c r="D153" s="156" t="s">
        <v>1500</v>
      </c>
      <c r="E153" s="156"/>
      <c r="F153" s="156" t="s">
        <v>1824</v>
      </c>
      <c r="G153" s="157">
        <v>43437</v>
      </c>
      <c r="H153" s="158" t="s">
        <v>1914</v>
      </c>
      <c r="I153" s="158" t="s">
        <v>2025</v>
      </c>
      <c r="J153" s="156" t="s">
        <v>2142</v>
      </c>
      <c r="K153" s="156" t="s">
        <v>2157</v>
      </c>
      <c r="L153" s="156" t="s">
        <v>2168</v>
      </c>
      <c r="M153" s="156">
        <v>8</v>
      </c>
      <c r="N153" s="159">
        <v>14081579</v>
      </c>
      <c r="O153" s="160">
        <v>1</v>
      </c>
      <c r="P153" s="160">
        <v>1</v>
      </c>
      <c r="Q153" s="160">
        <v>0</v>
      </c>
      <c r="R153" s="159">
        <v>1</v>
      </c>
      <c r="S153" s="157"/>
      <c r="T153" s="157">
        <v>44286</v>
      </c>
      <c r="U153" s="161">
        <v>7260815</v>
      </c>
      <c r="V153" s="158" t="s">
        <v>852</v>
      </c>
      <c r="W153" s="158" t="s">
        <v>627</v>
      </c>
      <c r="X153" s="158" t="s">
        <v>2169</v>
      </c>
      <c r="Y153" s="162" t="s">
        <v>2185</v>
      </c>
      <c r="Z153" s="163" t="s">
        <v>2191</v>
      </c>
      <c r="AA153" s="163">
        <v>1</v>
      </c>
      <c r="AB153" s="163">
        <v>1</v>
      </c>
      <c r="AC153" s="101">
        <v>1</v>
      </c>
      <c r="AD153" s="101">
        <v>1</v>
      </c>
      <c r="AE153" s="101" t="s">
        <v>2201</v>
      </c>
      <c r="AF153" s="102" t="str">
        <f>IF(ISERROR(VLOOKUP(AE153,小分類・セグメント!$A:$C,3,FALSE)),"",VLOOKUP(AE153,小分類・セグメント!$A:$C,3,FALSE))</f>
        <v>ECD</v>
      </c>
      <c r="AG153" s="103" t="str">
        <f>IF(ISERROR(VLOOKUP(AE153,小細分類・事業部マスタ!$E:$H,4,FALSE)),"",VLOOKUP(AE153,小細分類・事業部マスタ!$E:$H,4,FALSE))</f>
        <v>パワーデバイス事業部</v>
      </c>
      <c r="AH153" s="101" t="s">
        <v>2169</v>
      </c>
      <c r="AI153" s="104">
        <f>IF(ISERROR(VLOOKUP(AJ153,設置場所!$A:$B,2,FALSE)),"",VLOOKUP(AJ153,設置場所!$A:$B,2,FALSE))</f>
        <v>900000030</v>
      </c>
      <c r="AJ153" s="101" t="s">
        <v>2191</v>
      </c>
      <c r="AK153" s="101" t="s">
        <v>1331</v>
      </c>
      <c r="AL153" s="101" t="s">
        <v>1336</v>
      </c>
      <c r="AM153" s="101"/>
      <c r="AN153" s="101"/>
      <c r="AO153" s="101"/>
      <c r="AP153" s="101"/>
      <c r="AQ153" s="101"/>
      <c r="AR153" s="105"/>
      <c r="AS153" s="171"/>
    </row>
    <row r="154" spans="1:45">
      <c r="A154" s="131" t="s">
        <v>1224</v>
      </c>
      <c r="B154" s="156" t="s">
        <v>1337</v>
      </c>
      <c r="C154" s="156" t="s">
        <v>1321</v>
      </c>
      <c r="D154" s="156" t="s">
        <v>1501</v>
      </c>
      <c r="E154" s="156"/>
      <c r="F154" s="156" t="s">
        <v>1825</v>
      </c>
      <c r="G154" s="157">
        <v>43437</v>
      </c>
      <c r="H154" s="158" t="s">
        <v>1935</v>
      </c>
      <c r="I154" s="158" t="s">
        <v>2068</v>
      </c>
      <c r="J154" s="156" t="s">
        <v>2135</v>
      </c>
      <c r="K154" s="156" t="s">
        <v>2150</v>
      </c>
      <c r="L154" s="156" t="s">
        <v>2168</v>
      </c>
      <c r="M154" s="156">
        <v>8</v>
      </c>
      <c r="N154" s="159">
        <v>6490000</v>
      </c>
      <c r="O154" s="160">
        <v>1</v>
      </c>
      <c r="P154" s="160">
        <v>1</v>
      </c>
      <c r="Q154" s="160">
        <v>0</v>
      </c>
      <c r="R154" s="159">
        <v>1</v>
      </c>
      <c r="S154" s="157"/>
      <c r="T154" s="157">
        <v>44286</v>
      </c>
      <c r="U154" s="161">
        <v>3346406</v>
      </c>
      <c r="V154" s="158" t="s">
        <v>852</v>
      </c>
      <c r="W154" s="158" t="s">
        <v>627</v>
      </c>
      <c r="X154" s="158" t="s">
        <v>2169</v>
      </c>
      <c r="Y154" s="162" t="s">
        <v>2185</v>
      </c>
      <c r="Z154" s="163" t="s">
        <v>2191</v>
      </c>
      <c r="AA154" s="163">
        <v>1</v>
      </c>
      <c r="AB154" s="163">
        <v>1</v>
      </c>
      <c r="AC154" s="101">
        <v>1</v>
      </c>
      <c r="AD154" s="101">
        <v>1</v>
      </c>
      <c r="AE154" s="101" t="s">
        <v>2201</v>
      </c>
      <c r="AF154" s="102" t="str">
        <f>IF(ISERROR(VLOOKUP(AE154,小分類・セグメント!$A:$C,3,FALSE)),"",VLOOKUP(AE154,小分類・セグメント!$A:$C,3,FALSE))</f>
        <v>ECD</v>
      </c>
      <c r="AG154" s="103" t="str">
        <f>IF(ISERROR(VLOOKUP(AE154,小細分類・事業部マスタ!$E:$H,4,FALSE)),"",VLOOKUP(AE154,小細分類・事業部マスタ!$E:$H,4,FALSE))</f>
        <v>パワーデバイス事業部</v>
      </c>
      <c r="AH154" s="101" t="s">
        <v>2169</v>
      </c>
      <c r="AI154" s="104">
        <f>IF(ISERROR(VLOOKUP(AJ154,設置場所!$A:$B,2,FALSE)),"",VLOOKUP(AJ154,設置場所!$A:$B,2,FALSE))</f>
        <v>900000030</v>
      </c>
      <c r="AJ154" s="101" t="s">
        <v>2191</v>
      </c>
      <c r="AK154" s="101" t="s">
        <v>1331</v>
      </c>
      <c r="AL154" s="101" t="s">
        <v>1336</v>
      </c>
      <c r="AM154" s="101"/>
      <c r="AN154" s="101"/>
      <c r="AO154" s="101"/>
      <c r="AP154" s="101"/>
      <c r="AQ154" s="101"/>
      <c r="AR154" s="105"/>
      <c r="AS154" s="171"/>
    </row>
    <row r="155" spans="1:45">
      <c r="A155" s="131" t="s">
        <v>1224</v>
      </c>
      <c r="B155" s="156" t="s">
        <v>1337</v>
      </c>
      <c r="C155" s="156" t="s">
        <v>1321</v>
      </c>
      <c r="D155" s="156" t="s">
        <v>1502</v>
      </c>
      <c r="E155" s="156"/>
      <c r="F155" s="156" t="s">
        <v>1826</v>
      </c>
      <c r="G155" s="157">
        <v>43706</v>
      </c>
      <c r="H155" s="158" t="s">
        <v>1922</v>
      </c>
      <c r="I155" s="158" t="s">
        <v>2069</v>
      </c>
      <c r="J155" s="156" t="s">
        <v>2138</v>
      </c>
      <c r="K155" s="156" t="s">
        <v>2153</v>
      </c>
      <c r="L155" s="156" t="s">
        <v>2168</v>
      </c>
      <c r="M155" s="156">
        <v>8</v>
      </c>
      <c r="N155" s="159">
        <v>1692000</v>
      </c>
      <c r="O155" s="160">
        <v>1</v>
      </c>
      <c r="P155" s="160">
        <v>1</v>
      </c>
      <c r="Q155" s="160">
        <v>0</v>
      </c>
      <c r="R155" s="159">
        <v>1</v>
      </c>
      <c r="S155" s="157"/>
      <c r="T155" s="157">
        <v>44286</v>
      </c>
      <c r="U155" s="161">
        <v>1057499</v>
      </c>
      <c r="V155" s="158" t="s">
        <v>852</v>
      </c>
      <c r="W155" s="158" t="s">
        <v>627</v>
      </c>
      <c r="X155" s="158" t="s">
        <v>2169</v>
      </c>
      <c r="Y155" s="162" t="s">
        <v>2185</v>
      </c>
      <c r="Z155" s="163" t="s">
        <v>2191</v>
      </c>
      <c r="AA155" s="163">
        <v>1</v>
      </c>
      <c r="AB155" s="163">
        <v>1</v>
      </c>
      <c r="AC155" s="101">
        <v>1</v>
      </c>
      <c r="AD155" s="101">
        <v>1</v>
      </c>
      <c r="AE155" s="101" t="s">
        <v>2201</v>
      </c>
      <c r="AF155" s="102" t="str">
        <f>IF(ISERROR(VLOOKUP(AE155,小分類・セグメント!$A:$C,3,FALSE)),"",VLOOKUP(AE155,小分類・セグメント!$A:$C,3,FALSE))</f>
        <v>ECD</v>
      </c>
      <c r="AG155" s="103" t="str">
        <f>IF(ISERROR(VLOOKUP(AE155,小細分類・事業部マスタ!$E:$H,4,FALSE)),"",VLOOKUP(AE155,小細分類・事業部マスタ!$E:$H,4,FALSE))</f>
        <v>パワーデバイス事業部</v>
      </c>
      <c r="AH155" s="101" t="s">
        <v>2169</v>
      </c>
      <c r="AI155" s="104">
        <f>IF(ISERROR(VLOOKUP(AJ155,設置場所!$A:$B,2,FALSE)),"",VLOOKUP(AJ155,設置場所!$A:$B,2,FALSE))</f>
        <v>900000030</v>
      </c>
      <c r="AJ155" s="101" t="s">
        <v>2191</v>
      </c>
      <c r="AK155" s="101" t="s">
        <v>1331</v>
      </c>
      <c r="AL155" s="101" t="s">
        <v>1336</v>
      </c>
      <c r="AM155" s="101"/>
      <c r="AN155" s="101"/>
      <c r="AO155" s="101"/>
      <c r="AP155" s="101"/>
      <c r="AQ155" s="101"/>
      <c r="AR155" s="105"/>
      <c r="AS155" s="171"/>
    </row>
    <row r="156" spans="1:45">
      <c r="A156" s="131" t="s">
        <v>1224</v>
      </c>
      <c r="B156" s="156" t="s">
        <v>1337</v>
      </c>
      <c r="C156" s="156" t="s">
        <v>1321</v>
      </c>
      <c r="D156" s="156" t="s">
        <v>1503</v>
      </c>
      <c r="E156" s="156"/>
      <c r="F156" s="156" t="s">
        <v>1827</v>
      </c>
      <c r="G156" s="157">
        <v>43706</v>
      </c>
      <c r="H156" s="158" t="s">
        <v>1922</v>
      </c>
      <c r="I156" s="158" t="s">
        <v>2070</v>
      </c>
      <c r="J156" s="156" t="s">
        <v>2138</v>
      </c>
      <c r="K156" s="156" t="s">
        <v>2153</v>
      </c>
      <c r="L156" s="156" t="s">
        <v>2168</v>
      </c>
      <c r="M156" s="156">
        <v>8</v>
      </c>
      <c r="N156" s="159">
        <v>578000</v>
      </c>
      <c r="O156" s="160">
        <v>1</v>
      </c>
      <c r="P156" s="160">
        <v>1</v>
      </c>
      <c r="Q156" s="160">
        <v>0</v>
      </c>
      <c r="R156" s="159">
        <v>1</v>
      </c>
      <c r="S156" s="157"/>
      <c r="T156" s="157">
        <v>44286</v>
      </c>
      <c r="U156" s="161">
        <v>361250</v>
      </c>
      <c r="V156" s="158" t="s">
        <v>852</v>
      </c>
      <c r="W156" s="158" t="s">
        <v>627</v>
      </c>
      <c r="X156" s="158" t="s">
        <v>2169</v>
      </c>
      <c r="Y156" s="162" t="s">
        <v>2185</v>
      </c>
      <c r="Z156" s="163" t="s">
        <v>2191</v>
      </c>
      <c r="AA156" s="163">
        <v>1</v>
      </c>
      <c r="AB156" s="163">
        <v>1</v>
      </c>
      <c r="AC156" s="101">
        <v>1</v>
      </c>
      <c r="AD156" s="101">
        <v>1</v>
      </c>
      <c r="AE156" s="101" t="s">
        <v>2201</v>
      </c>
      <c r="AF156" s="102" t="str">
        <f>IF(ISERROR(VLOOKUP(AE156,小分類・セグメント!$A:$C,3,FALSE)),"",VLOOKUP(AE156,小分類・セグメント!$A:$C,3,FALSE))</f>
        <v>ECD</v>
      </c>
      <c r="AG156" s="103" t="str">
        <f>IF(ISERROR(VLOOKUP(AE156,小細分類・事業部マスタ!$E:$H,4,FALSE)),"",VLOOKUP(AE156,小細分類・事業部マスタ!$E:$H,4,FALSE))</f>
        <v>パワーデバイス事業部</v>
      </c>
      <c r="AH156" s="101" t="s">
        <v>2169</v>
      </c>
      <c r="AI156" s="104">
        <f>IF(ISERROR(VLOOKUP(AJ156,設置場所!$A:$B,2,FALSE)),"",VLOOKUP(AJ156,設置場所!$A:$B,2,FALSE))</f>
        <v>900000030</v>
      </c>
      <c r="AJ156" s="101" t="s">
        <v>2191</v>
      </c>
      <c r="AK156" s="101" t="s">
        <v>1331</v>
      </c>
      <c r="AL156" s="101" t="s">
        <v>1336</v>
      </c>
      <c r="AM156" s="101"/>
      <c r="AN156" s="101"/>
      <c r="AO156" s="101"/>
      <c r="AP156" s="101"/>
      <c r="AQ156" s="101"/>
      <c r="AR156" s="105"/>
      <c r="AS156" s="171"/>
    </row>
    <row r="157" spans="1:45">
      <c r="A157" s="131" t="s">
        <v>1224</v>
      </c>
      <c r="B157" s="156" t="s">
        <v>1337</v>
      </c>
      <c r="C157" s="156" t="s">
        <v>1321</v>
      </c>
      <c r="D157" s="156" t="s">
        <v>1504</v>
      </c>
      <c r="E157" s="156"/>
      <c r="F157" s="156" t="s">
        <v>1828</v>
      </c>
      <c r="G157" s="157">
        <v>43738</v>
      </c>
      <c r="H157" s="158" t="s">
        <v>1922</v>
      </c>
      <c r="I157" s="158" t="s">
        <v>2071</v>
      </c>
      <c r="J157" s="156" t="s">
        <v>2138</v>
      </c>
      <c r="K157" s="156" t="s">
        <v>2153</v>
      </c>
      <c r="L157" s="156" t="s">
        <v>2168</v>
      </c>
      <c r="M157" s="156">
        <v>8</v>
      </c>
      <c r="N157" s="159">
        <v>7980000</v>
      </c>
      <c r="O157" s="160">
        <v>1</v>
      </c>
      <c r="P157" s="160">
        <v>1</v>
      </c>
      <c r="Q157" s="160">
        <v>0</v>
      </c>
      <c r="R157" s="159">
        <v>1</v>
      </c>
      <c r="S157" s="157"/>
      <c r="T157" s="157">
        <v>44286</v>
      </c>
      <c r="U157" s="161">
        <v>5112187</v>
      </c>
      <c r="V157" s="158" t="s">
        <v>852</v>
      </c>
      <c r="W157" s="158" t="s">
        <v>627</v>
      </c>
      <c r="X157" s="158" t="s">
        <v>2169</v>
      </c>
      <c r="Y157" s="162" t="s">
        <v>2185</v>
      </c>
      <c r="Z157" s="163" t="s">
        <v>2191</v>
      </c>
      <c r="AA157" s="163">
        <v>1</v>
      </c>
      <c r="AB157" s="163">
        <v>1</v>
      </c>
      <c r="AC157" s="101">
        <v>1</v>
      </c>
      <c r="AD157" s="101">
        <v>1</v>
      </c>
      <c r="AE157" s="101" t="s">
        <v>2201</v>
      </c>
      <c r="AF157" s="102" t="str">
        <f>IF(ISERROR(VLOOKUP(AE157,小分類・セグメント!$A:$C,3,FALSE)),"",VLOOKUP(AE157,小分類・セグメント!$A:$C,3,FALSE))</f>
        <v>ECD</v>
      </c>
      <c r="AG157" s="103" t="str">
        <f>IF(ISERROR(VLOOKUP(AE157,小細分類・事業部マスタ!$E:$H,4,FALSE)),"",VLOOKUP(AE157,小細分類・事業部マスタ!$E:$H,4,FALSE))</f>
        <v>パワーデバイス事業部</v>
      </c>
      <c r="AH157" s="101" t="s">
        <v>2169</v>
      </c>
      <c r="AI157" s="104">
        <f>IF(ISERROR(VLOOKUP(AJ157,設置場所!$A:$B,2,FALSE)),"",VLOOKUP(AJ157,設置場所!$A:$B,2,FALSE))</f>
        <v>900000030</v>
      </c>
      <c r="AJ157" s="101" t="s">
        <v>2191</v>
      </c>
      <c r="AK157" s="101" t="s">
        <v>1331</v>
      </c>
      <c r="AL157" s="101" t="s">
        <v>1336</v>
      </c>
      <c r="AM157" s="101"/>
      <c r="AN157" s="101"/>
      <c r="AO157" s="101"/>
      <c r="AP157" s="101"/>
      <c r="AQ157" s="101"/>
      <c r="AR157" s="105"/>
      <c r="AS157" s="171"/>
    </row>
    <row r="158" spans="1:45">
      <c r="A158" s="131" t="s">
        <v>1224</v>
      </c>
      <c r="B158" s="156" t="s">
        <v>1337</v>
      </c>
      <c r="C158" s="156" t="s">
        <v>1321</v>
      </c>
      <c r="D158" s="156" t="s">
        <v>1505</v>
      </c>
      <c r="E158" s="156"/>
      <c r="F158" s="156" t="s">
        <v>1829</v>
      </c>
      <c r="G158" s="157">
        <v>43739</v>
      </c>
      <c r="H158" s="158" t="s">
        <v>1927</v>
      </c>
      <c r="I158" s="158" t="s">
        <v>2072</v>
      </c>
      <c r="J158" s="156" t="s">
        <v>2138</v>
      </c>
      <c r="K158" s="156" t="s">
        <v>2153</v>
      </c>
      <c r="L158" s="156" t="s">
        <v>2168</v>
      </c>
      <c r="M158" s="156">
        <v>8</v>
      </c>
      <c r="N158" s="159">
        <v>25000000</v>
      </c>
      <c r="O158" s="160">
        <v>1</v>
      </c>
      <c r="P158" s="160">
        <v>1</v>
      </c>
      <c r="Q158" s="160">
        <v>0</v>
      </c>
      <c r="R158" s="159">
        <v>1</v>
      </c>
      <c r="S158" s="157"/>
      <c r="T158" s="157">
        <v>44286</v>
      </c>
      <c r="U158" s="161">
        <v>16406249</v>
      </c>
      <c r="V158" s="158" t="s">
        <v>852</v>
      </c>
      <c r="W158" s="158" t="s">
        <v>627</v>
      </c>
      <c r="X158" s="158" t="s">
        <v>2169</v>
      </c>
      <c r="Y158" s="162" t="s">
        <v>2185</v>
      </c>
      <c r="Z158" s="163" t="s">
        <v>2191</v>
      </c>
      <c r="AA158" s="163">
        <v>1</v>
      </c>
      <c r="AB158" s="163">
        <v>1</v>
      </c>
      <c r="AC158" s="101">
        <v>1</v>
      </c>
      <c r="AD158" s="101">
        <v>1</v>
      </c>
      <c r="AE158" s="101" t="s">
        <v>2201</v>
      </c>
      <c r="AF158" s="102" t="str">
        <f>IF(ISERROR(VLOOKUP(AE158,小分類・セグメント!$A:$C,3,FALSE)),"",VLOOKUP(AE158,小分類・セグメント!$A:$C,3,FALSE))</f>
        <v>ECD</v>
      </c>
      <c r="AG158" s="103" t="str">
        <f>IF(ISERROR(VLOOKUP(AE158,小細分類・事業部マスタ!$E:$H,4,FALSE)),"",VLOOKUP(AE158,小細分類・事業部マスタ!$E:$H,4,FALSE))</f>
        <v>パワーデバイス事業部</v>
      </c>
      <c r="AH158" s="101" t="s">
        <v>2169</v>
      </c>
      <c r="AI158" s="104">
        <f>IF(ISERROR(VLOOKUP(AJ158,設置場所!$A:$B,2,FALSE)),"",VLOOKUP(AJ158,設置場所!$A:$B,2,FALSE))</f>
        <v>900000030</v>
      </c>
      <c r="AJ158" s="101" t="s">
        <v>2191</v>
      </c>
      <c r="AK158" s="101" t="s">
        <v>1331</v>
      </c>
      <c r="AL158" s="101" t="s">
        <v>1336</v>
      </c>
      <c r="AM158" s="101"/>
      <c r="AN158" s="101"/>
      <c r="AO158" s="101"/>
      <c r="AP158" s="101"/>
      <c r="AQ158" s="101"/>
      <c r="AR158" s="105"/>
      <c r="AS158" s="171"/>
    </row>
    <row r="159" spans="1:45">
      <c r="A159" s="131" t="s">
        <v>1224</v>
      </c>
      <c r="B159" s="156" t="s">
        <v>1337</v>
      </c>
      <c r="C159" s="156" t="s">
        <v>1321</v>
      </c>
      <c r="D159" s="156" t="s">
        <v>1506</v>
      </c>
      <c r="E159" s="156"/>
      <c r="F159" s="156" t="s">
        <v>1830</v>
      </c>
      <c r="G159" s="157">
        <v>43798</v>
      </c>
      <c r="H159" s="158" t="s">
        <v>1930</v>
      </c>
      <c r="I159" s="158" t="s">
        <v>2073</v>
      </c>
      <c r="J159" s="156" t="s">
        <v>2144</v>
      </c>
      <c r="K159" s="156" t="s">
        <v>2159</v>
      </c>
      <c r="L159" s="156" t="s">
        <v>2168</v>
      </c>
      <c r="M159" s="156">
        <v>8</v>
      </c>
      <c r="N159" s="159">
        <v>9435031</v>
      </c>
      <c r="O159" s="160">
        <v>1</v>
      </c>
      <c r="P159" s="160">
        <v>1</v>
      </c>
      <c r="Q159" s="160">
        <v>0</v>
      </c>
      <c r="R159" s="159">
        <v>1</v>
      </c>
      <c r="S159" s="157"/>
      <c r="T159" s="157">
        <v>44286</v>
      </c>
      <c r="U159" s="161">
        <v>6339161</v>
      </c>
      <c r="V159" s="158" t="s">
        <v>852</v>
      </c>
      <c r="W159" s="158" t="s">
        <v>627</v>
      </c>
      <c r="X159" s="158" t="s">
        <v>2169</v>
      </c>
      <c r="Y159" s="162" t="s">
        <v>2185</v>
      </c>
      <c r="Z159" s="163" t="s">
        <v>2191</v>
      </c>
      <c r="AA159" s="163">
        <v>1</v>
      </c>
      <c r="AB159" s="163">
        <v>4</v>
      </c>
      <c r="AC159" s="101">
        <v>1</v>
      </c>
      <c r="AD159" s="101">
        <v>4</v>
      </c>
      <c r="AE159" s="101" t="s">
        <v>2201</v>
      </c>
      <c r="AF159" s="102" t="str">
        <f>IF(ISERROR(VLOOKUP(AE159,小分類・セグメント!$A:$C,3,FALSE)),"",VLOOKUP(AE159,小分類・セグメント!$A:$C,3,FALSE))</f>
        <v>ECD</v>
      </c>
      <c r="AG159" s="103" t="str">
        <f>IF(ISERROR(VLOOKUP(AE159,小細分類・事業部マスタ!$E:$H,4,FALSE)),"",VLOOKUP(AE159,小細分類・事業部マスタ!$E:$H,4,FALSE))</f>
        <v>パワーデバイス事業部</v>
      </c>
      <c r="AH159" s="101" t="s">
        <v>2169</v>
      </c>
      <c r="AI159" s="104">
        <f>IF(ISERROR(VLOOKUP(AJ159,設置場所!$A:$B,2,FALSE)),"",VLOOKUP(AJ159,設置場所!$A:$B,2,FALSE))</f>
        <v>900000030</v>
      </c>
      <c r="AJ159" s="101" t="s">
        <v>2191</v>
      </c>
      <c r="AK159" s="101" t="s">
        <v>1331</v>
      </c>
      <c r="AL159" s="101" t="s">
        <v>1336</v>
      </c>
      <c r="AM159" s="101"/>
      <c r="AN159" s="101"/>
      <c r="AO159" s="101"/>
      <c r="AP159" s="101"/>
      <c r="AQ159" s="101"/>
      <c r="AR159" s="105"/>
      <c r="AS159" s="171"/>
    </row>
    <row r="160" spans="1:45">
      <c r="A160" s="131" t="s">
        <v>1224</v>
      </c>
      <c r="B160" s="156" t="s">
        <v>1337</v>
      </c>
      <c r="C160" s="156" t="s">
        <v>1321</v>
      </c>
      <c r="D160" s="156" t="s">
        <v>1507</v>
      </c>
      <c r="E160" s="156"/>
      <c r="F160" s="156" t="s">
        <v>1831</v>
      </c>
      <c r="G160" s="157">
        <v>43770</v>
      </c>
      <c r="H160" s="158" t="s">
        <v>1925</v>
      </c>
      <c r="I160" s="158" t="s">
        <v>2074</v>
      </c>
      <c r="J160" s="156" t="s">
        <v>2144</v>
      </c>
      <c r="K160" s="156" t="s">
        <v>2159</v>
      </c>
      <c r="L160" s="156" t="s">
        <v>2168</v>
      </c>
      <c r="M160" s="156">
        <v>8</v>
      </c>
      <c r="N160" s="159">
        <v>2024150</v>
      </c>
      <c r="O160" s="160">
        <v>1</v>
      </c>
      <c r="P160" s="160">
        <v>1</v>
      </c>
      <c r="Q160" s="160">
        <v>0</v>
      </c>
      <c r="R160" s="159">
        <v>1</v>
      </c>
      <c r="S160" s="157"/>
      <c r="T160" s="157">
        <v>44286</v>
      </c>
      <c r="U160" s="161">
        <v>1359976</v>
      </c>
      <c r="V160" s="158" t="s">
        <v>852</v>
      </c>
      <c r="W160" s="158" t="s">
        <v>627</v>
      </c>
      <c r="X160" s="158" t="s">
        <v>2169</v>
      </c>
      <c r="Y160" s="162" t="s">
        <v>2185</v>
      </c>
      <c r="Z160" s="163" t="s">
        <v>2191</v>
      </c>
      <c r="AA160" s="163">
        <v>1</v>
      </c>
      <c r="AB160" s="163">
        <v>1</v>
      </c>
      <c r="AC160" s="101">
        <v>1</v>
      </c>
      <c r="AD160" s="101">
        <v>1</v>
      </c>
      <c r="AE160" s="101" t="s">
        <v>2201</v>
      </c>
      <c r="AF160" s="102" t="str">
        <f>IF(ISERROR(VLOOKUP(AE160,小分類・セグメント!$A:$C,3,FALSE)),"",VLOOKUP(AE160,小分類・セグメント!$A:$C,3,FALSE))</f>
        <v>ECD</v>
      </c>
      <c r="AG160" s="103" t="str">
        <f>IF(ISERROR(VLOOKUP(AE160,小細分類・事業部マスタ!$E:$H,4,FALSE)),"",VLOOKUP(AE160,小細分類・事業部マスタ!$E:$H,4,FALSE))</f>
        <v>パワーデバイス事業部</v>
      </c>
      <c r="AH160" s="101" t="s">
        <v>2169</v>
      </c>
      <c r="AI160" s="104">
        <f>IF(ISERROR(VLOOKUP(AJ160,設置場所!$A:$B,2,FALSE)),"",VLOOKUP(AJ160,設置場所!$A:$B,2,FALSE))</f>
        <v>900000030</v>
      </c>
      <c r="AJ160" s="101" t="s">
        <v>2191</v>
      </c>
      <c r="AK160" s="101" t="s">
        <v>1331</v>
      </c>
      <c r="AL160" s="101" t="s">
        <v>1336</v>
      </c>
      <c r="AM160" s="101"/>
      <c r="AN160" s="101"/>
      <c r="AO160" s="101"/>
      <c r="AP160" s="101"/>
      <c r="AQ160" s="101"/>
      <c r="AR160" s="105"/>
      <c r="AS160" s="171"/>
    </row>
    <row r="161" spans="1:45">
      <c r="A161" s="131" t="s">
        <v>1224</v>
      </c>
      <c r="B161" s="156" t="s">
        <v>1337</v>
      </c>
      <c r="C161" s="156" t="s">
        <v>1321</v>
      </c>
      <c r="D161" s="156" t="s">
        <v>1508</v>
      </c>
      <c r="E161" s="156"/>
      <c r="F161" s="156" t="s">
        <v>1832</v>
      </c>
      <c r="G161" s="157">
        <v>43770</v>
      </c>
      <c r="H161" s="158" t="s">
        <v>1922</v>
      </c>
      <c r="I161" s="158" t="s">
        <v>1958</v>
      </c>
      <c r="J161" s="156" t="s">
        <v>2138</v>
      </c>
      <c r="K161" s="156" t="s">
        <v>2153</v>
      </c>
      <c r="L161" s="156" t="s">
        <v>2168</v>
      </c>
      <c r="M161" s="156">
        <v>8</v>
      </c>
      <c r="N161" s="159">
        <v>750000</v>
      </c>
      <c r="O161" s="160">
        <v>1</v>
      </c>
      <c r="P161" s="160">
        <v>1</v>
      </c>
      <c r="Q161" s="160">
        <v>0</v>
      </c>
      <c r="R161" s="159">
        <v>1</v>
      </c>
      <c r="S161" s="157"/>
      <c r="T161" s="157">
        <v>44286</v>
      </c>
      <c r="U161" s="161">
        <v>503906</v>
      </c>
      <c r="V161" s="158" t="s">
        <v>852</v>
      </c>
      <c r="W161" s="158" t="s">
        <v>627</v>
      </c>
      <c r="X161" s="158" t="s">
        <v>2169</v>
      </c>
      <c r="Y161" s="162" t="s">
        <v>2185</v>
      </c>
      <c r="Z161" s="163" t="s">
        <v>2191</v>
      </c>
      <c r="AA161" s="163">
        <v>1</v>
      </c>
      <c r="AB161" s="163">
        <v>1</v>
      </c>
      <c r="AC161" s="101">
        <v>1</v>
      </c>
      <c r="AD161" s="101">
        <v>1</v>
      </c>
      <c r="AE161" s="101" t="s">
        <v>2201</v>
      </c>
      <c r="AF161" s="102" t="str">
        <f>IF(ISERROR(VLOOKUP(AE161,小分類・セグメント!$A:$C,3,FALSE)),"",VLOOKUP(AE161,小分類・セグメント!$A:$C,3,FALSE))</f>
        <v>ECD</v>
      </c>
      <c r="AG161" s="103" t="str">
        <f>IF(ISERROR(VLOOKUP(AE161,小細分類・事業部マスタ!$E:$H,4,FALSE)),"",VLOOKUP(AE161,小細分類・事業部マスタ!$E:$H,4,FALSE))</f>
        <v>パワーデバイス事業部</v>
      </c>
      <c r="AH161" s="101" t="s">
        <v>2169</v>
      </c>
      <c r="AI161" s="104">
        <f>IF(ISERROR(VLOOKUP(AJ161,設置場所!$A:$B,2,FALSE)),"",VLOOKUP(AJ161,設置場所!$A:$B,2,FALSE))</f>
        <v>900000030</v>
      </c>
      <c r="AJ161" s="101" t="s">
        <v>2191</v>
      </c>
      <c r="AK161" s="101" t="s">
        <v>1331</v>
      </c>
      <c r="AL161" s="101" t="s">
        <v>1336</v>
      </c>
      <c r="AM161" s="101"/>
      <c r="AN161" s="101"/>
      <c r="AO161" s="101"/>
      <c r="AP161" s="101"/>
      <c r="AQ161" s="101"/>
      <c r="AR161" s="105"/>
      <c r="AS161" s="171"/>
    </row>
    <row r="162" spans="1:45">
      <c r="A162" s="131" t="s">
        <v>1224</v>
      </c>
      <c r="B162" s="156" t="s">
        <v>1337</v>
      </c>
      <c r="C162" s="156" t="s">
        <v>1321</v>
      </c>
      <c r="D162" s="156" t="s">
        <v>1509</v>
      </c>
      <c r="E162" s="156"/>
      <c r="F162" s="156" t="s">
        <v>1833</v>
      </c>
      <c r="G162" s="157">
        <v>43889</v>
      </c>
      <c r="H162" s="158" t="s">
        <v>1929</v>
      </c>
      <c r="I162" s="158" t="s">
        <v>2075</v>
      </c>
      <c r="J162" s="156" t="s">
        <v>2140</v>
      </c>
      <c r="K162" s="156" t="s">
        <v>2155</v>
      </c>
      <c r="L162" s="156" t="s">
        <v>2168</v>
      </c>
      <c r="M162" s="156">
        <v>8</v>
      </c>
      <c r="N162" s="159">
        <v>880000</v>
      </c>
      <c r="O162" s="160">
        <v>1</v>
      </c>
      <c r="P162" s="160">
        <v>1</v>
      </c>
      <c r="Q162" s="160">
        <v>0</v>
      </c>
      <c r="R162" s="159">
        <v>1</v>
      </c>
      <c r="S162" s="157"/>
      <c r="T162" s="157">
        <v>44286</v>
      </c>
      <c r="U162" s="161">
        <v>632500</v>
      </c>
      <c r="V162" s="158" t="s">
        <v>852</v>
      </c>
      <c r="W162" s="158" t="s">
        <v>627</v>
      </c>
      <c r="X162" s="158" t="s">
        <v>2172</v>
      </c>
      <c r="Y162" s="162" t="s">
        <v>2185</v>
      </c>
      <c r="Z162" s="163" t="s">
        <v>2191</v>
      </c>
      <c r="AA162" s="163">
        <v>1</v>
      </c>
      <c r="AB162" s="163">
        <v>1</v>
      </c>
      <c r="AC162" s="101">
        <v>1</v>
      </c>
      <c r="AD162" s="101">
        <v>1</v>
      </c>
      <c r="AE162" s="101" t="s">
        <v>2201</v>
      </c>
      <c r="AF162" s="102" t="str">
        <f>IF(ISERROR(VLOOKUP(AE162,小分類・セグメント!$A:$C,3,FALSE)),"",VLOOKUP(AE162,小分類・セグメント!$A:$C,3,FALSE))</f>
        <v>ECD</v>
      </c>
      <c r="AG162" s="103" t="str">
        <f>IF(ISERROR(VLOOKUP(AE162,小細分類・事業部マスタ!$E:$H,4,FALSE)),"",VLOOKUP(AE162,小細分類・事業部マスタ!$E:$H,4,FALSE))</f>
        <v>パワーデバイス事業部</v>
      </c>
      <c r="AH162" s="101" t="s">
        <v>2172</v>
      </c>
      <c r="AI162" s="104">
        <f>IF(ISERROR(VLOOKUP(AJ162,設置場所!$A:$B,2,FALSE)),"",VLOOKUP(AJ162,設置場所!$A:$B,2,FALSE))</f>
        <v>900000030</v>
      </c>
      <c r="AJ162" s="101" t="s">
        <v>2191</v>
      </c>
      <c r="AK162" s="101" t="s">
        <v>1331</v>
      </c>
      <c r="AL162" s="101" t="s">
        <v>1336</v>
      </c>
      <c r="AM162" s="101"/>
      <c r="AN162" s="101"/>
      <c r="AO162" s="101"/>
      <c r="AP162" s="101"/>
      <c r="AQ162" s="101"/>
      <c r="AR162" s="105"/>
      <c r="AS162" s="171"/>
    </row>
    <row r="163" spans="1:45">
      <c r="A163" s="131" t="s">
        <v>1224</v>
      </c>
      <c r="B163" s="156" t="s">
        <v>1337</v>
      </c>
      <c r="C163" s="156" t="s">
        <v>1321</v>
      </c>
      <c r="D163" s="156" t="s">
        <v>1510</v>
      </c>
      <c r="E163" s="156"/>
      <c r="F163" s="156" t="s">
        <v>1834</v>
      </c>
      <c r="G163" s="157">
        <v>44012</v>
      </c>
      <c r="H163" s="158" t="s">
        <v>1932</v>
      </c>
      <c r="I163" s="158" t="s">
        <v>2076</v>
      </c>
      <c r="J163" s="156" t="s">
        <v>2139</v>
      </c>
      <c r="K163" s="156" t="s">
        <v>2154</v>
      </c>
      <c r="L163" s="156" t="s">
        <v>2168</v>
      </c>
      <c r="M163" s="156">
        <v>8</v>
      </c>
      <c r="N163" s="159">
        <v>2061560</v>
      </c>
      <c r="O163" s="160">
        <v>1</v>
      </c>
      <c r="P163" s="160">
        <v>1</v>
      </c>
      <c r="Q163" s="160">
        <v>0</v>
      </c>
      <c r="R163" s="159">
        <v>1</v>
      </c>
      <c r="S163" s="157"/>
      <c r="T163" s="157">
        <v>44286</v>
      </c>
      <c r="U163" s="161">
        <v>1632068</v>
      </c>
      <c r="V163" s="158" t="s">
        <v>852</v>
      </c>
      <c r="W163" s="158" t="s">
        <v>627</v>
      </c>
      <c r="X163" s="158" t="s">
        <v>2172</v>
      </c>
      <c r="Y163" s="162" t="s">
        <v>2185</v>
      </c>
      <c r="Z163" s="163" t="s">
        <v>2191</v>
      </c>
      <c r="AA163" s="163">
        <v>1</v>
      </c>
      <c r="AB163" s="163">
        <v>1</v>
      </c>
      <c r="AC163" s="101">
        <v>1</v>
      </c>
      <c r="AD163" s="101">
        <v>1</v>
      </c>
      <c r="AE163" s="101" t="s">
        <v>2201</v>
      </c>
      <c r="AF163" s="102" t="str">
        <f>IF(ISERROR(VLOOKUP(AE163,小分類・セグメント!$A:$C,3,FALSE)),"",VLOOKUP(AE163,小分類・セグメント!$A:$C,3,FALSE))</f>
        <v>ECD</v>
      </c>
      <c r="AG163" s="103" t="str">
        <f>IF(ISERROR(VLOOKUP(AE163,小細分類・事業部マスタ!$E:$H,4,FALSE)),"",VLOOKUP(AE163,小細分類・事業部マスタ!$E:$H,4,FALSE))</f>
        <v>パワーデバイス事業部</v>
      </c>
      <c r="AH163" s="101" t="s">
        <v>2172</v>
      </c>
      <c r="AI163" s="104">
        <f>IF(ISERROR(VLOOKUP(AJ163,設置場所!$A:$B,2,FALSE)),"",VLOOKUP(AJ163,設置場所!$A:$B,2,FALSE))</f>
        <v>900000030</v>
      </c>
      <c r="AJ163" s="101" t="s">
        <v>2191</v>
      </c>
      <c r="AK163" s="101" t="s">
        <v>1331</v>
      </c>
      <c r="AL163" s="101" t="s">
        <v>1336</v>
      </c>
      <c r="AM163" s="101"/>
      <c r="AN163" s="101"/>
      <c r="AO163" s="101"/>
      <c r="AP163" s="101"/>
      <c r="AQ163" s="101"/>
      <c r="AR163" s="105"/>
      <c r="AS163" s="171"/>
    </row>
    <row r="164" spans="1:45">
      <c r="A164" s="131" t="s">
        <v>1224</v>
      </c>
      <c r="B164" s="156" t="s">
        <v>1337</v>
      </c>
      <c r="C164" s="156" t="s">
        <v>1321</v>
      </c>
      <c r="D164" s="156" t="s">
        <v>1511</v>
      </c>
      <c r="E164" s="156"/>
      <c r="F164" s="156" t="s">
        <v>1835</v>
      </c>
      <c r="G164" s="157">
        <v>44012</v>
      </c>
      <c r="H164" s="158" t="s">
        <v>1936</v>
      </c>
      <c r="I164" s="158" t="s">
        <v>2077</v>
      </c>
      <c r="J164" s="156" t="s">
        <v>2139</v>
      </c>
      <c r="K164" s="156" t="s">
        <v>2154</v>
      </c>
      <c r="L164" s="156" t="s">
        <v>2168</v>
      </c>
      <c r="M164" s="156">
        <v>8</v>
      </c>
      <c r="N164" s="159">
        <v>29900000</v>
      </c>
      <c r="O164" s="160">
        <v>1</v>
      </c>
      <c r="P164" s="160">
        <v>1</v>
      </c>
      <c r="Q164" s="160">
        <v>0</v>
      </c>
      <c r="R164" s="159">
        <v>1</v>
      </c>
      <c r="S164" s="157"/>
      <c r="T164" s="157">
        <v>44286</v>
      </c>
      <c r="U164" s="161">
        <v>23670833</v>
      </c>
      <c r="V164" s="158" t="s">
        <v>852</v>
      </c>
      <c r="W164" s="158" t="s">
        <v>627</v>
      </c>
      <c r="X164" s="158" t="s">
        <v>2172</v>
      </c>
      <c r="Y164" s="162" t="s">
        <v>2185</v>
      </c>
      <c r="Z164" s="163" t="s">
        <v>2191</v>
      </c>
      <c r="AA164" s="163">
        <v>1</v>
      </c>
      <c r="AB164" s="163">
        <v>1</v>
      </c>
      <c r="AC164" s="101">
        <v>1</v>
      </c>
      <c r="AD164" s="101">
        <v>1</v>
      </c>
      <c r="AE164" s="101" t="s">
        <v>2201</v>
      </c>
      <c r="AF164" s="102" t="str">
        <f>IF(ISERROR(VLOOKUP(AE164,小分類・セグメント!$A:$C,3,FALSE)),"",VLOOKUP(AE164,小分類・セグメント!$A:$C,3,FALSE))</f>
        <v>ECD</v>
      </c>
      <c r="AG164" s="103" t="str">
        <f>IF(ISERROR(VLOOKUP(AE164,小細分類・事業部マスタ!$E:$H,4,FALSE)),"",VLOOKUP(AE164,小細分類・事業部マスタ!$E:$H,4,FALSE))</f>
        <v>パワーデバイス事業部</v>
      </c>
      <c r="AH164" s="101" t="s">
        <v>2172</v>
      </c>
      <c r="AI164" s="104">
        <f>IF(ISERROR(VLOOKUP(AJ164,設置場所!$A:$B,2,FALSE)),"",VLOOKUP(AJ164,設置場所!$A:$B,2,FALSE))</f>
        <v>900000030</v>
      </c>
      <c r="AJ164" s="101" t="s">
        <v>2191</v>
      </c>
      <c r="AK164" s="101" t="s">
        <v>1331</v>
      </c>
      <c r="AL164" s="101" t="s">
        <v>1336</v>
      </c>
      <c r="AM164" s="101"/>
      <c r="AN164" s="101"/>
      <c r="AO164" s="101"/>
      <c r="AP164" s="101"/>
      <c r="AQ164" s="101"/>
      <c r="AR164" s="105"/>
      <c r="AS164" s="171"/>
    </row>
    <row r="165" spans="1:45">
      <c r="A165" s="131" t="s">
        <v>1224</v>
      </c>
      <c r="B165" s="156" t="s">
        <v>1337</v>
      </c>
      <c r="C165" s="156" t="s">
        <v>1321</v>
      </c>
      <c r="D165" s="156" t="s">
        <v>1512</v>
      </c>
      <c r="E165" s="156"/>
      <c r="F165" s="156" t="s">
        <v>1836</v>
      </c>
      <c r="G165" s="157">
        <v>44012</v>
      </c>
      <c r="H165" s="158" t="s">
        <v>1937</v>
      </c>
      <c r="I165" s="158" t="s">
        <v>2078</v>
      </c>
      <c r="J165" s="156" t="s">
        <v>2139</v>
      </c>
      <c r="K165" s="156" t="s">
        <v>2154</v>
      </c>
      <c r="L165" s="156" t="s">
        <v>2168</v>
      </c>
      <c r="M165" s="156">
        <v>8</v>
      </c>
      <c r="N165" s="159">
        <v>75000000</v>
      </c>
      <c r="O165" s="160">
        <v>1</v>
      </c>
      <c r="P165" s="160">
        <v>1</v>
      </c>
      <c r="Q165" s="160">
        <v>0</v>
      </c>
      <c r="R165" s="159">
        <v>1</v>
      </c>
      <c r="S165" s="157"/>
      <c r="T165" s="157">
        <v>44286</v>
      </c>
      <c r="U165" s="161">
        <v>59374999</v>
      </c>
      <c r="V165" s="158" t="s">
        <v>852</v>
      </c>
      <c r="W165" s="158" t="s">
        <v>627</v>
      </c>
      <c r="X165" s="158" t="s">
        <v>2172</v>
      </c>
      <c r="Y165" s="162" t="s">
        <v>2185</v>
      </c>
      <c r="Z165" s="163" t="s">
        <v>2191</v>
      </c>
      <c r="AA165" s="163">
        <v>1</v>
      </c>
      <c r="AB165" s="163">
        <v>1</v>
      </c>
      <c r="AC165" s="101">
        <v>1</v>
      </c>
      <c r="AD165" s="101">
        <v>1</v>
      </c>
      <c r="AE165" s="101" t="s">
        <v>2201</v>
      </c>
      <c r="AF165" s="102" t="str">
        <f>IF(ISERROR(VLOOKUP(AE165,小分類・セグメント!$A:$C,3,FALSE)),"",VLOOKUP(AE165,小分類・セグメント!$A:$C,3,FALSE))</f>
        <v>ECD</v>
      </c>
      <c r="AG165" s="103" t="str">
        <f>IF(ISERROR(VLOOKUP(AE165,小細分類・事業部マスタ!$E:$H,4,FALSE)),"",VLOOKUP(AE165,小細分類・事業部マスタ!$E:$H,4,FALSE))</f>
        <v>パワーデバイス事業部</v>
      </c>
      <c r="AH165" s="101" t="s">
        <v>2172</v>
      </c>
      <c r="AI165" s="104">
        <f>IF(ISERROR(VLOOKUP(AJ165,設置場所!$A:$B,2,FALSE)),"",VLOOKUP(AJ165,設置場所!$A:$B,2,FALSE))</f>
        <v>900000030</v>
      </c>
      <c r="AJ165" s="101" t="s">
        <v>2191</v>
      </c>
      <c r="AK165" s="101" t="s">
        <v>1331</v>
      </c>
      <c r="AL165" s="101" t="s">
        <v>1336</v>
      </c>
      <c r="AM165" s="101"/>
      <c r="AN165" s="101"/>
      <c r="AO165" s="101"/>
      <c r="AP165" s="101"/>
      <c r="AQ165" s="101"/>
      <c r="AR165" s="105"/>
      <c r="AS165" s="171"/>
    </row>
    <row r="166" spans="1:45">
      <c r="A166" s="131" t="s">
        <v>1224</v>
      </c>
      <c r="B166" s="156" t="s">
        <v>1337</v>
      </c>
      <c r="C166" s="156" t="s">
        <v>1321</v>
      </c>
      <c r="D166" s="156" t="s">
        <v>1513</v>
      </c>
      <c r="E166" s="156"/>
      <c r="F166" s="156" t="s">
        <v>1837</v>
      </c>
      <c r="G166" s="157">
        <v>44012</v>
      </c>
      <c r="H166" s="158" t="s">
        <v>1938</v>
      </c>
      <c r="I166" s="158" t="s">
        <v>2079</v>
      </c>
      <c r="J166" s="156" t="s">
        <v>2139</v>
      </c>
      <c r="K166" s="156" t="s">
        <v>2154</v>
      </c>
      <c r="L166" s="156" t="s">
        <v>2168</v>
      </c>
      <c r="M166" s="156">
        <v>8</v>
      </c>
      <c r="N166" s="159">
        <v>5100000</v>
      </c>
      <c r="O166" s="160">
        <v>1</v>
      </c>
      <c r="P166" s="160">
        <v>1</v>
      </c>
      <c r="Q166" s="160">
        <v>0</v>
      </c>
      <c r="R166" s="159">
        <v>1</v>
      </c>
      <c r="S166" s="157"/>
      <c r="T166" s="157">
        <v>44286</v>
      </c>
      <c r="U166" s="161">
        <v>4037499</v>
      </c>
      <c r="V166" s="158" t="s">
        <v>852</v>
      </c>
      <c r="W166" s="158" t="s">
        <v>627</v>
      </c>
      <c r="X166" s="158" t="s">
        <v>2172</v>
      </c>
      <c r="Y166" s="162" t="s">
        <v>2185</v>
      </c>
      <c r="Z166" s="163" t="s">
        <v>2191</v>
      </c>
      <c r="AA166" s="163">
        <v>1</v>
      </c>
      <c r="AB166" s="163">
        <v>1</v>
      </c>
      <c r="AC166" s="101">
        <v>1</v>
      </c>
      <c r="AD166" s="101">
        <v>1</v>
      </c>
      <c r="AE166" s="101" t="s">
        <v>2201</v>
      </c>
      <c r="AF166" s="102" t="str">
        <f>IF(ISERROR(VLOOKUP(AE166,小分類・セグメント!$A:$C,3,FALSE)),"",VLOOKUP(AE166,小分類・セグメント!$A:$C,3,FALSE))</f>
        <v>ECD</v>
      </c>
      <c r="AG166" s="103" t="str">
        <f>IF(ISERROR(VLOOKUP(AE166,小細分類・事業部マスタ!$E:$H,4,FALSE)),"",VLOOKUP(AE166,小細分類・事業部マスタ!$E:$H,4,FALSE))</f>
        <v>パワーデバイス事業部</v>
      </c>
      <c r="AH166" s="101" t="s">
        <v>2172</v>
      </c>
      <c r="AI166" s="104">
        <f>IF(ISERROR(VLOOKUP(AJ166,設置場所!$A:$B,2,FALSE)),"",VLOOKUP(AJ166,設置場所!$A:$B,2,FALSE))</f>
        <v>900000030</v>
      </c>
      <c r="AJ166" s="101" t="s">
        <v>2191</v>
      </c>
      <c r="AK166" s="101" t="s">
        <v>1331</v>
      </c>
      <c r="AL166" s="101" t="s">
        <v>1336</v>
      </c>
      <c r="AM166" s="101"/>
      <c r="AN166" s="101"/>
      <c r="AO166" s="101"/>
      <c r="AP166" s="101"/>
      <c r="AQ166" s="101"/>
      <c r="AR166" s="105"/>
      <c r="AS166" s="171"/>
    </row>
    <row r="167" spans="1:45">
      <c r="A167" s="131" t="s">
        <v>1224</v>
      </c>
      <c r="B167" s="156" t="s">
        <v>1337</v>
      </c>
      <c r="C167" s="156" t="s">
        <v>1321</v>
      </c>
      <c r="D167" s="156" t="s">
        <v>1514</v>
      </c>
      <c r="E167" s="156"/>
      <c r="F167" s="156" t="s">
        <v>1838</v>
      </c>
      <c r="G167" s="157">
        <v>44012</v>
      </c>
      <c r="H167" s="158" t="s">
        <v>1937</v>
      </c>
      <c r="I167" s="158" t="s">
        <v>2080</v>
      </c>
      <c r="J167" s="156" t="s">
        <v>2139</v>
      </c>
      <c r="K167" s="156" t="s">
        <v>2154</v>
      </c>
      <c r="L167" s="156" t="s">
        <v>2168</v>
      </c>
      <c r="M167" s="156">
        <v>8</v>
      </c>
      <c r="N167" s="159">
        <v>650000</v>
      </c>
      <c r="O167" s="160">
        <v>1</v>
      </c>
      <c r="P167" s="160">
        <v>1</v>
      </c>
      <c r="Q167" s="160">
        <v>0</v>
      </c>
      <c r="R167" s="159">
        <v>1</v>
      </c>
      <c r="S167" s="157"/>
      <c r="T167" s="157">
        <v>44286</v>
      </c>
      <c r="U167" s="161">
        <v>514583</v>
      </c>
      <c r="V167" s="158" t="s">
        <v>852</v>
      </c>
      <c r="W167" s="158" t="s">
        <v>627</v>
      </c>
      <c r="X167" s="158" t="s">
        <v>2172</v>
      </c>
      <c r="Y167" s="162" t="s">
        <v>2185</v>
      </c>
      <c r="Z167" s="163" t="s">
        <v>2191</v>
      </c>
      <c r="AA167" s="163">
        <v>1</v>
      </c>
      <c r="AB167" s="163">
        <v>1</v>
      </c>
      <c r="AC167" s="101">
        <v>1</v>
      </c>
      <c r="AD167" s="101">
        <v>1</v>
      </c>
      <c r="AE167" s="101" t="s">
        <v>2201</v>
      </c>
      <c r="AF167" s="102" t="str">
        <f>IF(ISERROR(VLOOKUP(AE167,小分類・セグメント!$A:$C,3,FALSE)),"",VLOOKUP(AE167,小分類・セグメント!$A:$C,3,FALSE))</f>
        <v>ECD</v>
      </c>
      <c r="AG167" s="103" t="str">
        <f>IF(ISERROR(VLOOKUP(AE167,小細分類・事業部マスタ!$E:$H,4,FALSE)),"",VLOOKUP(AE167,小細分類・事業部マスタ!$E:$H,4,FALSE))</f>
        <v>パワーデバイス事業部</v>
      </c>
      <c r="AH167" s="101" t="s">
        <v>2172</v>
      </c>
      <c r="AI167" s="104">
        <f>IF(ISERROR(VLOOKUP(AJ167,設置場所!$A:$B,2,FALSE)),"",VLOOKUP(AJ167,設置場所!$A:$B,2,FALSE))</f>
        <v>900000030</v>
      </c>
      <c r="AJ167" s="101" t="s">
        <v>2191</v>
      </c>
      <c r="AK167" s="101" t="s">
        <v>1331</v>
      </c>
      <c r="AL167" s="101" t="s">
        <v>1336</v>
      </c>
      <c r="AM167" s="101"/>
      <c r="AN167" s="101"/>
      <c r="AO167" s="101"/>
      <c r="AP167" s="101"/>
      <c r="AQ167" s="101"/>
      <c r="AR167" s="105"/>
      <c r="AS167" s="171"/>
    </row>
    <row r="168" spans="1:45">
      <c r="A168" s="131" t="s">
        <v>1224</v>
      </c>
      <c r="B168" s="156" t="s">
        <v>1337</v>
      </c>
      <c r="C168" s="156" t="s">
        <v>1321</v>
      </c>
      <c r="D168" s="156" t="s">
        <v>1515</v>
      </c>
      <c r="E168" s="156"/>
      <c r="F168" s="156" t="s">
        <v>1839</v>
      </c>
      <c r="G168" s="157">
        <v>44012</v>
      </c>
      <c r="H168" s="158" t="s">
        <v>1937</v>
      </c>
      <c r="I168" s="158" t="s">
        <v>2081</v>
      </c>
      <c r="J168" s="156" t="s">
        <v>2139</v>
      </c>
      <c r="K168" s="156" t="s">
        <v>2154</v>
      </c>
      <c r="L168" s="156" t="s">
        <v>2168</v>
      </c>
      <c r="M168" s="156">
        <v>8</v>
      </c>
      <c r="N168" s="159">
        <v>1112000</v>
      </c>
      <c r="O168" s="160">
        <v>1</v>
      </c>
      <c r="P168" s="160">
        <v>1</v>
      </c>
      <c r="Q168" s="160">
        <v>0</v>
      </c>
      <c r="R168" s="159">
        <v>1</v>
      </c>
      <c r="S168" s="157"/>
      <c r="T168" s="157">
        <v>44286</v>
      </c>
      <c r="U168" s="161">
        <v>880333</v>
      </c>
      <c r="V168" s="158" t="s">
        <v>852</v>
      </c>
      <c r="W168" s="158" t="s">
        <v>627</v>
      </c>
      <c r="X168" s="158" t="s">
        <v>2172</v>
      </c>
      <c r="Y168" s="162" t="s">
        <v>2185</v>
      </c>
      <c r="Z168" s="163" t="s">
        <v>2191</v>
      </c>
      <c r="AA168" s="163">
        <v>1</v>
      </c>
      <c r="AB168" s="163">
        <v>1</v>
      </c>
      <c r="AC168" s="101">
        <v>1</v>
      </c>
      <c r="AD168" s="101">
        <v>1</v>
      </c>
      <c r="AE168" s="101" t="s">
        <v>2201</v>
      </c>
      <c r="AF168" s="102" t="str">
        <f>IF(ISERROR(VLOOKUP(AE168,小分類・セグメント!$A:$C,3,FALSE)),"",VLOOKUP(AE168,小分類・セグメント!$A:$C,3,FALSE))</f>
        <v>ECD</v>
      </c>
      <c r="AG168" s="103" t="str">
        <f>IF(ISERROR(VLOOKUP(AE168,小細分類・事業部マスタ!$E:$H,4,FALSE)),"",VLOOKUP(AE168,小細分類・事業部マスタ!$E:$H,4,FALSE))</f>
        <v>パワーデバイス事業部</v>
      </c>
      <c r="AH168" s="101" t="s">
        <v>2172</v>
      </c>
      <c r="AI168" s="104">
        <f>IF(ISERROR(VLOOKUP(AJ168,設置場所!$A:$B,2,FALSE)),"",VLOOKUP(AJ168,設置場所!$A:$B,2,FALSE))</f>
        <v>900000030</v>
      </c>
      <c r="AJ168" s="101" t="s">
        <v>2191</v>
      </c>
      <c r="AK168" s="101" t="s">
        <v>1331</v>
      </c>
      <c r="AL168" s="101" t="s">
        <v>1336</v>
      </c>
      <c r="AM168" s="101"/>
      <c r="AN168" s="101"/>
      <c r="AO168" s="101"/>
      <c r="AP168" s="101"/>
      <c r="AQ168" s="101"/>
      <c r="AR168" s="105"/>
      <c r="AS168" s="171"/>
    </row>
    <row r="169" spans="1:45">
      <c r="A169" s="131" t="s">
        <v>1224</v>
      </c>
      <c r="B169" s="156" t="s">
        <v>1337</v>
      </c>
      <c r="C169" s="156" t="s">
        <v>1321</v>
      </c>
      <c r="D169" s="156" t="s">
        <v>1516</v>
      </c>
      <c r="E169" s="156"/>
      <c r="F169" s="156" t="s">
        <v>1840</v>
      </c>
      <c r="G169" s="157">
        <v>44012</v>
      </c>
      <c r="H169" s="158" t="s">
        <v>1916</v>
      </c>
      <c r="I169" s="158" t="s">
        <v>2082</v>
      </c>
      <c r="J169" s="156" t="s">
        <v>2139</v>
      </c>
      <c r="K169" s="156" t="s">
        <v>2154</v>
      </c>
      <c r="L169" s="156" t="s">
        <v>2168</v>
      </c>
      <c r="M169" s="156">
        <v>8</v>
      </c>
      <c r="N169" s="159">
        <v>265000</v>
      </c>
      <c r="O169" s="160">
        <v>1</v>
      </c>
      <c r="P169" s="160">
        <v>1</v>
      </c>
      <c r="Q169" s="160">
        <v>0</v>
      </c>
      <c r="R169" s="159">
        <v>1</v>
      </c>
      <c r="S169" s="157"/>
      <c r="T169" s="157">
        <v>44286</v>
      </c>
      <c r="U169" s="161">
        <v>209791</v>
      </c>
      <c r="V169" s="158" t="s">
        <v>852</v>
      </c>
      <c r="W169" s="158" t="s">
        <v>627</v>
      </c>
      <c r="X169" s="158" t="s">
        <v>2172</v>
      </c>
      <c r="Y169" s="162" t="s">
        <v>2185</v>
      </c>
      <c r="Z169" s="163" t="s">
        <v>2191</v>
      </c>
      <c r="AA169" s="163">
        <v>1</v>
      </c>
      <c r="AB169" s="163">
        <v>1</v>
      </c>
      <c r="AC169" s="101">
        <v>1</v>
      </c>
      <c r="AD169" s="101">
        <v>1</v>
      </c>
      <c r="AE169" s="101" t="s">
        <v>2201</v>
      </c>
      <c r="AF169" s="102" t="str">
        <f>IF(ISERROR(VLOOKUP(AE169,小分類・セグメント!$A:$C,3,FALSE)),"",VLOOKUP(AE169,小分類・セグメント!$A:$C,3,FALSE))</f>
        <v>ECD</v>
      </c>
      <c r="AG169" s="103" t="str">
        <f>IF(ISERROR(VLOOKUP(AE169,小細分類・事業部マスタ!$E:$H,4,FALSE)),"",VLOOKUP(AE169,小細分類・事業部マスタ!$E:$H,4,FALSE))</f>
        <v>パワーデバイス事業部</v>
      </c>
      <c r="AH169" s="101" t="s">
        <v>2172</v>
      </c>
      <c r="AI169" s="104">
        <f>IF(ISERROR(VLOOKUP(AJ169,設置場所!$A:$B,2,FALSE)),"",VLOOKUP(AJ169,設置場所!$A:$B,2,FALSE))</f>
        <v>900000030</v>
      </c>
      <c r="AJ169" s="101" t="s">
        <v>2191</v>
      </c>
      <c r="AK169" s="101" t="s">
        <v>1331</v>
      </c>
      <c r="AL169" s="101" t="s">
        <v>1336</v>
      </c>
      <c r="AM169" s="101"/>
      <c r="AN169" s="101"/>
      <c r="AO169" s="101"/>
      <c r="AP169" s="101"/>
      <c r="AQ169" s="101"/>
      <c r="AR169" s="105"/>
      <c r="AS169" s="171"/>
    </row>
    <row r="170" spans="1:45">
      <c r="A170" s="131" t="s">
        <v>1224</v>
      </c>
      <c r="B170" s="156" t="s">
        <v>1337</v>
      </c>
      <c r="C170" s="156" t="s">
        <v>1321</v>
      </c>
      <c r="D170" s="156" t="s">
        <v>1517</v>
      </c>
      <c r="E170" s="156"/>
      <c r="F170" s="156" t="s">
        <v>1841</v>
      </c>
      <c r="G170" s="157">
        <v>44439</v>
      </c>
      <c r="H170" s="158" t="s">
        <v>1937</v>
      </c>
      <c r="I170" s="158" t="s">
        <v>2083</v>
      </c>
      <c r="J170" s="156" t="s">
        <v>2147</v>
      </c>
      <c r="K170" s="156" t="s">
        <v>2162</v>
      </c>
      <c r="L170" s="156" t="s">
        <v>2168</v>
      </c>
      <c r="M170" s="156">
        <v>8</v>
      </c>
      <c r="N170" s="159">
        <v>680000</v>
      </c>
      <c r="O170" s="160">
        <v>1</v>
      </c>
      <c r="P170" s="160">
        <v>1</v>
      </c>
      <c r="Q170" s="160">
        <v>0</v>
      </c>
      <c r="R170" s="159">
        <v>1</v>
      </c>
      <c r="S170" s="157"/>
      <c r="T170" s="157">
        <v>44651</v>
      </c>
      <c r="U170" s="161">
        <v>679999</v>
      </c>
      <c r="V170" s="158" t="s">
        <v>852</v>
      </c>
      <c r="W170" s="158" t="s">
        <v>627</v>
      </c>
      <c r="X170" s="158"/>
      <c r="Y170" s="162" t="s">
        <v>2185</v>
      </c>
      <c r="Z170" s="163" t="s">
        <v>2191</v>
      </c>
      <c r="AA170" s="163">
        <v>1</v>
      </c>
      <c r="AB170" s="163">
        <v>1</v>
      </c>
      <c r="AC170" s="101">
        <v>1</v>
      </c>
      <c r="AD170" s="101">
        <v>1</v>
      </c>
      <c r="AE170" s="101" t="s">
        <v>2201</v>
      </c>
      <c r="AF170" s="102" t="str">
        <f>IF(ISERROR(VLOOKUP(AE170,小分類・セグメント!$A:$C,3,FALSE)),"",VLOOKUP(AE170,小分類・セグメント!$A:$C,3,FALSE))</f>
        <v>ECD</v>
      </c>
      <c r="AG170" s="103" t="str">
        <f>IF(ISERROR(VLOOKUP(AE170,小細分類・事業部マスタ!$E:$H,4,FALSE)),"",VLOOKUP(AE170,小細分類・事業部マスタ!$E:$H,4,FALSE))</f>
        <v>パワーデバイス事業部</v>
      </c>
      <c r="AH170" s="101" t="s">
        <v>2172</v>
      </c>
      <c r="AI170" s="104">
        <f>IF(ISERROR(VLOOKUP(AJ170,設置場所!$A:$B,2,FALSE)),"",VLOOKUP(AJ170,設置場所!$A:$B,2,FALSE))</f>
        <v>900000030</v>
      </c>
      <c r="AJ170" s="101" t="s">
        <v>2191</v>
      </c>
      <c r="AK170" s="101" t="s">
        <v>1331</v>
      </c>
      <c r="AL170" s="101" t="s">
        <v>1336</v>
      </c>
      <c r="AM170" s="101"/>
      <c r="AN170" s="101"/>
      <c r="AO170" s="101"/>
      <c r="AP170" s="101"/>
      <c r="AQ170" s="101"/>
      <c r="AR170" s="105"/>
      <c r="AS170" s="171"/>
    </row>
    <row r="171" spans="1:45">
      <c r="A171" s="131" t="s">
        <v>1224</v>
      </c>
      <c r="B171" s="156" t="s">
        <v>1337</v>
      </c>
      <c r="C171" s="156" t="s">
        <v>1321</v>
      </c>
      <c r="D171" s="156" t="s">
        <v>1518</v>
      </c>
      <c r="E171" s="156"/>
      <c r="F171" s="156" t="s">
        <v>1842</v>
      </c>
      <c r="G171" s="157">
        <v>44012</v>
      </c>
      <c r="H171" s="158" t="s">
        <v>1939</v>
      </c>
      <c r="I171" s="158" t="s">
        <v>2084</v>
      </c>
      <c r="J171" s="156" t="s">
        <v>2139</v>
      </c>
      <c r="K171" s="156" t="s">
        <v>2154</v>
      </c>
      <c r="L171" s="156" t="s">
        <v>2168</v>
      </c>
      <c r="M171" s="156">
        <v>8</v>
      </c>
      <c r="N171" s="159">
        <v>1380000</v>
      </c>
      <c r="O171" s="160">
        <v>1</v>
      </c>
      <c r="P171" s="160">
        <v>1</v>
      </c>
      <c r="Q171" s="160">
        <v>0</v>
      </c>
      <c r="R171" s="159">
        <v>1</v>
      </c>
      <c r="S171" s="157"/>
      <c r="T171" s="157">
        <v>44286</v>
      </c>
      <c r="U171" s="161">
        <v>1092499</v>
      </c>
      <c r="V171" s="158" t="s">
        <v>852</v>
      </c>
      <c r="W171" s="158" t="s">
        <v>627</v>
      </c>
      <c r="X171" s="158" t="s">
        <v>2172</v>
      </c>
      <c r="Y171" s="162" t="s">
        <v>2185</v>
      </c>
      <c r="Z171" s="163" t="s">
        <v>2191</v>
      </c>
      <c r="AA171" s="163">
        <v>1</v>
      </c>
      <c r="AB171" s="163">
        <v>1</v>
      </c>
      <c r="AC171" s="101">
        <v>1</v>
      </c>
      <c r="AD171" s="101">
        <v>1</v>
      </c>
      <c r="AE171" s="101" t="s">
        <v>2201</v>
      </c>
      <c r="AF171" s="102" t="str">
        <f>IF(ISERROR(VLOOKUP(AE171,小分類・セグメント!$A:$C,3,FALSE)),"",VLOOKUP(AE171,小分類・セグメント!$A:$C,3,FALSE))</f>
        <v>ECD</v>
      </c>
      <c r="AG171" s="103" t="str">
        <f>IF(ISERROR(VLOOKUP(AE171,小細分類・事業部マスタ!$E:$H,4,FALSE)),"",VLOOKUP(AE171,小細分類・事業部マスタ!$E:$H,4,FALSE))</f>
        <v>パワーデバイス事業部</v>
      </c>
      <c r="AH171" s="101" t="s">
        <v>2172</v>
      </c>
      <c r="AI171" s="104">
        <f>IF(ISERROR(VLOOKUP(AJ171,設置場所!$A:$B,2,FALSE)),"",VLOOKUP(AJ171,設置場所!$A:$B,2,FALSE))</f>
        <v>900000030</v>
      </c>
      <c r="AJ171" s="101" t="s">
        <v>2191</v>
      </c>
      <c r="AK171" s="101" t="s">
        <v>1331</v>
      </c>
      <c r="AL171" s="101" t="s">
        <v>1336</v>
      </c>
      <c r="AM171" s="101"/>
      <c r="AN171" s="101"/>
      <c r="AO171" s="101"/>
      <c r="AP171" s="101"/>
      <c r="AQ171" s="101"/>
      <c r="AR171" s="105"/>
      <c r="AS171" s="171"/>
    </row>
    <row r="172" spans="1:45">
      <c r="A172" s="131" t="s">
        <v>1224</v>
      </c>
      <c r="B172" s="156" t="s">
        <v>1337</v>
      </c>
      <c r="C172" s="156" t="s">
        <v>1321</v>
      </c>
      <c r="D172" s="156" t="s">
        <v>1519</v>
      </c>
      <c r="E172" s="156"/>
      <c r="F172" s="156" t="s">
        <v>1843</v>
      </c>
      <c r="G172" s="157">
        <v>44012</v>
      </c>
      <c r="H172" s="158" t="s">
        <v>1940</v>
      </c>
      <c r="I172" s="158" t="s">
        <v>2085</v>
      </c>
      <c r="J172" s="156" t="s">
        <v>2139</v>
      </c>
      <c r="K172" s="156" t="s">
        <v>2154</v>
      </c>
      <c r="L172" s="156" t="s">
        <v>2168</v>
      </c>
      <c r="M172" s="156">
        <v>8</v>
      </c>
      <c r="N172" s="159">
        <v>726000</v>
      </c>
      <c r="O172" s="160">
        <v>1</v>
      </c>
      <c r="P172" s="160">
        <v>1</v>
      </c>
      <c r="Q172" s="160">
        <v>0</v>
      </c>
      <c r="R172" s="159">
        <v>1</v>
      </c>
      <c r="S172" s="157"/>
      <c r="T172" s="157">
        <v>44286</v>
      </c>
      <c r="U172" s="161">
        <v>574749</v>
      </c>
      <c r="V172" s="158" t="s">
        <v>852</v>
      </c>
      <c r="W172" s="158" t="s">
        <v>627</v>
      </c>
      <c r="X172" s="158" t="s">
        <v>2172</v>
      </c>
      <c r="Y172" s="162" t="s">
        <v>2185</v>
      </c>
      <c r="Z172" s="163" t="s">
        <v>2191</v>
      </c>
      <c r="AA172" s="163">
        <v>1</v>
      </c>
      <c r="AB172" s="163">
        <v>1</v>
      </c>
      <c r="AC172" s="101">
        <v>1</v>
      </c>
      <c r="AD172" s="101">
        <v>1</v>
      </c>
      <c r="AE172" s="101" t="s">
        <v>2201</v>
      </c>
      <c r="AF172" s="102" t="str">
        <f>IF(ISERROR(VLOOKUP(AE172,小分類・セグメント!$A:$C,3,FALSE)),"",VLOOKUP(AE172,小分類・セグメント!$A:$C,3,FALSE))</f>
        <v>ECD</v>
      </c>
      <c r="AG172" s="103" t="str">
        <f>IF(ISERROR(VLOOKUP(AE172,小細分類・事業部マスタ!$E:$H,4,FALSE)),"",VLOOKUP(AE172,小細分類・事業部マスタ!$E:$H,4,FALSE))</f>
        <v>パワーデバイス事業部</v>
      </c>
      <c r="AH172" s="101" t="s">
        <v>2172</v>
      </c>
      <c r="AI172" s="104">
        <f>IF(ISERROR(VLOOKUP(AJ172,設置場所!$A:$B,2,FALSE)),"",VLOOKUP(AJ172,設置場所!$A:$B,2,FALSE))</f>
        <v>900000030</v>
      </c>
      <c r="AJ172" s="101" t="s">
        <v>2191</v>
      </c>
      <c r="AK172" s="101" t="s">
        <v>1331</v>
      </c>
      <c r="AL172" s="101" t="s">
        <v>1336</v>
      </c>
      <c r="AM172" s="101"/>
      <c r="AN172" s="101"/>
      <c r="AO172" s="101"/>
      <c r="AP172" s="101"/>
      <c r="AQ172" s="101"/>
      <c r="AR172" s="105"/>
      <c r="AS172" s="171"/>
    </row>
    <row r="173" spans="1:45">
      <c r="A173" s="131" t="s">
        <v>1224</v>
      </c>
      <c r="B173" s="156" t="s">
        <v>1337</v>
      </c>
      <c r="C173" s="156" t="s">
        <v>1321</v>
      </c>
      <c r="D173" s="156" t="s">
        <v>1520</v>
      </c>
      <c r="E173" s="156"/>
      <c r="F173" s="156" t="s">
        <v>1844</v>
      </c>
      <c r="G173" s="157">
        <v>44104</v>
      </c>
      <c r="H173" s="158" t="s">
        <v>1911</v>
      </c>
      <c r="I173" s="158" t="s">
        <v>2086</v>
      </c>
      <c r="J173" s="156" t="s">
        <v>2140</v>
      </c>
      <c r="K173" s="156" t="s">
        <v>2155</v>
      </c>
      <c r="L173" s="156" t="s">
        <v>2168</v>
      </c>
      <c r="M173" s="156">
        <v>8</v>
      </c>
      <c r="N173" s="159">
        <v>192889546</v>
      </c>
      <c r="O173" s="160">
        <v>1</v>
      </c>
      <c r="P173" s="160">
        <v>1</v>
      </c>
      <c r="Q173" s="160">
        <v>0</v>
      </c>
      <c r="R173" s="159">
        <v>1</v>
      </c>
      <c r="S173" s="157"/>
      <c r="T173" s="157">
        <v>44286</v>
      </c>
      <c r="U173" s="161">
        <v>164759820</v>
      </c>
      <c r="V173" s="158" t="s">
        <v>852</v>
      </c>
      <c r="W173" s="158" t="s">
        <v>627</v>
      </c>
      <c r="X173" s="158" t="s">
        <v>2181</v>
      </c>
      <c r="Y173" s="162" t="s">
        <v>2185</v>
      </c>
      <c r="Z173" s="163" t="s">
        <v>2191</v>
      </c>
      <c r="AA173" s="163">
        <v>1</v>
      </c>
      <c r="AB173" s="163">
        <v>1</v>
      </c>
      <c r="AC173" s="101">
        <v>1</v>
      </c>
      <c r="AD173" s="101">
        <v>1</v>
      </c>
      <c r="AE173" s="101" t="s">
        <v>2201</v>
      </c>
      <c r="AF173" s="102" t="str">
        <f>IF(ISERROR(VLOOKUP(AE173,小分類・セグメント!$A:$C,3,FALSE)),"",VLOOKUP(AE173,小分類・セグメント!$A:$C,3,FALSE))</f>
        <v>ECD</v>
      </c>
      <c r="AG173" s="103" t="str">
        <f>IF(ISERROR(VLOOKUP(AE173,小細分類・事業部マスタ!$E:$H,4,FALSE)),"",VLOOKUP(AE173,小細分類・事業部マスタ!$E:$H,4,FALSE))</f>
        <v>パワーデバイス事業部</v>
      </c>
      <c r="AH173" s="101" t="s">
        <v>2181</v>
      </c>
      <c r="AI173" s="104">
        <f>IF(ISERROR(VLOOKUP(AJ173,設置場所!$A:$B,2,FALSE)),"",VLOOKUP(AJ173,設置場所!$A:$B,2,FALSE))</f>
        <v>900000030</v>
      </c>
      <c r="AJ173" s="101" t="s">
        <v>2191</v>
      </c>
      <c r="AK173" s="101" t="s">
        <v>1331</v>
      </c>
      <c r="AL173" s="101" t="s">
        <v>1336</v>
      </c>
      <c r="AM173" s="101"/>
      <c r="AN173" s="101"/>
      <c r="AO173" s="101"/>
      <c r="AP173" s="101"/>
      <c r="AQ173" s="101"/>
      <c r="AR173" s="105"/>
      <c r="AS173" s="171"/>
    </row>
    <row r="174" spans="1:45">
      <c r="A174" s="131" t="s">
        <v>1224</v>
      </c>
      <c r="B174" s="156" t="s">
        <v>1337</v>
      </c>
      <c r="C174" s="156" t="s">
        <v>1321</v>
      </c>
      <c r="D174" s="156" t="s">
        <v>1521</v>
      </c>
      <c r="E174" s="156"/>
      <c r="F174" s="156" t="s">
        <v>1845</v>
      </c>
      <c r="G174" s="157">
        <v>44408</v>
      </c>
      <c r="H174" s="158" t="s">
        <v>1911</v>
      </c>
      <c r="I174" s="158" t="s">
        <v>2086</v>
      </c>
      <c r="J174" s="156" t="s">
        <v>2147</v>
      </c>
      <c r="K174" s="156" t="s">
        <v>2162</v>
      </c>
      <c r="L174" s="156" t="s">
        <v>2168</v>
      </c>
      <c r="M174" s="156">
        <v>8</v>
      </c>
      <c r="N174" s="159">
        <v>12857134</v>
      </c>
      <c r="O174" s="160">
        <v>1</v>
      </c>
      <c r="P174" s="160">
        <v>1</v>
      </c>
      <c r="Q174" s="160">
        <v>0</v>
      </c>
      <c r="R174" s="159">
        <v>1</v>
      </c>
      <c r="S174" s="157"/>
      <c r="T174" s="157">
        <v>44408</v>
      </c>
      <c r="U174" s="161">
        <v>12589277</v>
      </c>
      <c r="V174" s="158" t="s">
        <v>852</v>
      </c>
      <c r="W174" s="158" t="s">
        <v>627</v>
      </c>
      <c r="X174" s="158"/>
      <c r="Y174" s="162" t="s">
        <v>2185</v>
      </c>
      <c r="Z174" s="163" t="s">
        <v>2191</v>
      </c>
      <c r="AA174" s="163">
        <v>1</v>
      </c>
      <c r="AB174" s="163">
        <v>1</v>
      </c>
      <c r="AC174" s="101">
        <v>1</v>
      </c>
      <c r="AD174" s="101">
        <v>1</v>
      </c>
      <c r="AE174" s="101" t="s">
        <v>2201</v>
      </c>
      <c r="AF174" s="102" t="str">
        <f>IF(ISERROR(VLOOKUP(AE174,小分類・セグメント!$A:$C,3,FALSE)),"",VLOOKUP(AE174,小分類・セグメント!$A:$C,3,FALSE))</f>
        <v>ECD</v>
      </c>
      <c r="AG174" s="103" t="str">
        <f>IF(ISERROR(VLOOKUP(AE174,小細分類・事業部マスタ!$E:$H,4,FALSE)),"",VLOOKUP(AE174,小細分類・事業部マスタ!$E:$H,4,FALSE))</f>
        <v>パワーデバイス事業部</v>
      </c>
      <c r="AH174" s="101" t="s">
        <v>2181</v>
      </c>
      <c r="AI174" s="104">
        <f>IF(ISERROR(VLOOKUP(AJ174,設置場所!$A:$B,2,FALSE)),"",VLOOKUP(AJ174,設置場所!$A:$B,2,FALSE))</f>
        <v>900000030</v>
      </c>
      <c r="AJ174" s="101" t="s">
        <v>2191</v>
      </c>
      <c r="AK174" s="101" t="s">
        <v>1331</v>
      </c>
      <c r="AL174" s="101" t="s">
        <v>1336</v>
      </c>
      <c r="AM174" s="101"/>
      <c r="AN174" s="101"/>
      <c r="AO174" s="101"/>
      <c r="AP174" s="101"/>
      <c r="AQ174" s="101"/>
      <c r="AR174" s="105"/>
      <c r="AS174" s="171"/>
    </row>
    <row r="175" spans="1:45">
      <c r="A175" s="131" t="s">
        <v>1224</v>
      </c>
      <c r="B175" s="156" t="s">
        <v>1337</v>
      </c>
      <c r="C175" s="156" t="s">
        <v>1321</v>
      </c>
      <c r="D175" s="156" t="s">
        <v>1522</v>
      </c>
      <c r="E175" s="156"/>
      <c r="F175" s="156" t="s">
        <v>1846</v>
      </c>
      <c r="G175" s="157">
        <v>44133</v>
      </c>
      <c r="H175" s="158" t="s">
        <v>1930</v>
      </c>
      <c r="I175" s="158" t="s">
        <v>2087</v>
      </c>
      <c r="J175" s="156" t="s">
        <v>2141</v>
      </c>
      <c r="K175" s="156" t="s">
        <v>2156</v>
      </c>
      <c r="L175" s="156" t="s">
        <v>2168</v>
      </c>
      <c r="M175" s="156">
        <v>8</v>
      </c>
      <c r="N175" s="159">
        <v>318268</v>
      </c>
      <c r="O175" s="160">
        <v>1</v>
      </c>
      <c r="P175" s="160">
        <v>1</v>
      </c>
      <c r="Q175" s="160">
        <v>0</v>
      </c>
      <c r="R175" s="159">
        <v>1</v>
      </c>
      <c r="S175" s="157"/>
      <c r="T175" s="157">
        <v>44286</v>
      </c>
      <c r="U175" s="161">
        <v>278484</v>
      </c>
      <c r="V175" s="158" t="s">
        <v>852</v>
      </c>
      <c r="W175" s="158" t="s">
        <v>627</v>
      </c>
      <c r="X175" s="158" t="s">
        <v>2182</v>
      </c>
      <c r="Y175" s="162" t="s">
        <v>2185</v>
      </c>
      <c r="Z175" s="163" t="s">
        <v>2191</v>
      </c>
      <c r="AA175" s="163">
        <v>1</v>
      </c>
      <c r="AB175" s="163">
        <v>1</v>
      </c>
      <c r="AC175" s="101">
        <v>1</v>
      </c>
      <c r="AD175" s="101">
        <v>1</v>
      </c>
      <c r="AE175" s="101" t="s">
        <v>2201</v>
      </c>
      <c r="AF175" s="102" t="str">
        <f>IF(ISERROR(VLOOKUP(AE175,小分類・セグメント!$A:$C,3,FALSE)),"",VLOOKUP(AE175,小分類・セグメント!$A:$C,3,FALSE))</f>
        <v>ECD</v>
      </c>
      <c r="AG175" s="103" t="str">
        <f>IF(ISERROR(VLOOKUP(AE175,小細分類・事業部マスタ!$E:$H,4,FALSE)),"",VLOOKUP(AE175,小細分類・事業部マスタ!$E:$H,4,FALSE))</f>
        <v>パワーデバイス事業部</v>
      </c>
      <c r="AH175" s="101" t="s">
        <v>2182</v>
      </c>
      <c r="AI175" s="104">
        <f>IF(ISERROR(VLOOKUP(AJ175,設置場所!$A:$B,2,FALSE)),"",VLOOKUP(AJ175,設置場所!$A:$B,2,FALSE))</f>
        <v>900000030</v>
      </c>
      <c r="AJ175" s="101" t="s">
        <v>2191</v>
      </c>
      <c r="AK175" s="101" t="s">
        <v>1331</v>
      </c>
      <c r="AL175" s="101" t="s">
        <v>1336</v>
      </c>
      <c r="AM175" s="101"/>
      <c r="AN175" s="101"/>
      <c r="AO175" s="101"/>
      <c r="AP175" s="101"/>
      <c r="AQ175" s="101"/>
      <c r="AR175" s="105"/>
      <c r="AS175" s="171"/>
    </row>
    <row r="176" spans="1:45">
      <c r="A176" s="131" t="s">
        <v>1224</v>
      </c>
      <c r="B176" s="156" t="s">
        <v>1337</v>
      </c>
      <c r="C176" s="156" t="s">
        <v>1321</v>
      </c>
      <c r="D176" s="156" t="s">
        <v>1523</v>
      </c>
      <c r="E176" s="156"/>
      <c r="F176" s="156" t="s">
        <v>1847</v>
      </c>
      <c r="G176" s="157">
        <v>44439</v>
      </c>
      <c r="H176" s="158" t="s">
        <v>1911</v>
      </c>
      <c r="I176" s="158" t="s">
        <v>2088</v>
      </c>
      <c r="J176" s="156" t="s">
        <v>2147</v>
      </c>
      <c r="K176" s="156" t="s">
        <v>2162</v>
      </c>
      <c r="L176" s="156" t="s">
        <v>2168</v>
      </c>
      <c r="M176" s="156">
        <v>8</v>
      </c>
      <c r="N176" s="159">
        <v>395300</v>
      </c>
      <c r="O176" s="160">
        <v>1</v>
      </c>
      <c r="P176" s="160">
        <v>1</v>
      </c>
      <c r="Q176" s="160">
        <v>0</v>
      </c>
      <c r="R176" s="159">
        <v>1</v>
      </c>
      <c r="S176" s="157"/>
      <c r="T176" s="157">
        <v>44651</v>
      </c>
      <c r="U176" s="161">
        <v>395299</v>
      </c>
      <c r="V176" s="158" t="s">
        <v>852</v>
      </c>
      <c r="W176" s="158" t="s">
        <v>627</v>
      </c>
      <c r="X176" s="158"/>
      <c r="Y176" s="162" t="s">
        <v>2185</v>
      </c>
      <c r="Z176" s="163" t="s">
        <v>2191</v>
      </c>
      <c r="AA176" s="163">
        <v>1</v>
      </c>
      <c r="AB176" s="163">
        <v>1</v>
      </c>
      <c r="AC176" s="101">
        <v>1</v>
      </c>
      <c r="AD176" s="101">
        <v>1</v>
      </c>
      <c r="AE176" s="101" t="s">
        <v>2201</v>
      </c>
      <c r="AF176" s="102" t="str">
        <f>IF(ISERROR(VLOOKUP(AE176,小分類・セグメント!$A:$C,3,FALSE)),"",VLOOKUP(AE176,小分類・セグメント!$A:$C,3,FALSE))</f>
        <v>ECD</v>
      </c>
      <c r="AG176" s="103" t="str">
        <f>IF(ISERROR(VLOOKUP(AE176,小細分類・事業部マスタ!$E:$H,4,FALSE)),"",VLOOKUP(AE176,小細分類・事業部マスタ!$E:$H,4,FALSE))</f>
        <v>パワーデバイス事業部</v>
      </c>
      <c r="AH176" s="101" t="s">
        <v>2181</v>
      </c>
      <c r="AI176" s="104">
        <f>IF(ISERROR(VLOOKUP(AJ176,設置場所!$A:$B,2,FALSE)),"",VLOOKUP(AJ176,設置場所!$A:$B,2,FALSE))</f>
        <v>900000030</v>
      </c>
      <c r="AJ176" s="101" t="s">
        <v>2191</v>
      </c>
      <c r="AK176" s="101" t="s">
        <v>1331</v>
      </c>
      <c r="AL176" s="101" t="s">
        <v>1336</v>
      </c>
      <c r="AM176" s="101"/>
      <c r="AN176" s="101"/>
      <c r="AO176" s="101"/>
      <c r="AP176" s="101"/>
      <c r="AQ176" s="101"/>
      <c r="AR176" s="105"/>
      <c r="AS176" s="171"/>
    </row>
    <row r="177" spans="1:45">
      <c r="A177" s="131" t="s">
        <v>1224</v>
      </c>
      <c r="B177" s="156" t="s">
        <v>1337</v>
      </c>
      <c r="C177" s="156" t="s">
        <v>1321</v>
      </c>
      <c r="D177" s="156" t="s">
        <v>1524</v>
      </c>
      <c r="E177" s="156"/>
      <c r="F177" s="156" t="s">
        <v>1848</v>
      </c>
      <c r="G177" s="157">
        <v>44439</v>
      </c>
      <c r="H177" s="158" t="s">
        <v>1941</v>
      </c>
      <c r="I177" s="158" t="s">
        <v>2089</v>
      </c>
      <c r="J177" s="156" t="s">
        <v>2147</v>
      </c>
      <c r="K177" s="156" t="s">
        <v>2162</v>
      </c>
      <c r="L177" s="156" t="s">
        <v>2168</v>
      </c>
      <c r="M177" s="156">
        <v>8</v>
      </c>
      <c r="N177" s="159">
        <v>4950000</v>
      </c>
      <c r="O177" s="160">
        <v>1</v>
      </c>
      <c r="P177" s="160">
        <v>1</v>
      </c>
      <c r="Q177" s="160">
        <v>0</v>
      </c>
      <c r="R177" s="159">
        <v>1</v>
      </c>
      <c r="S177" s="157"/>
      <c r="T177" s="157">
        <v>44651</v>
      </c>
      <c r="U177" s="161">
        <v>4949999</v>
      </c>
      <c r="V177" s="158" t="s">
        <v>852</v>
      </c>
      <c r="W177" s="158" t="s">
        <v>627</v>
      </c>
      <c r="X177" s="158"/>
      <c r="Y177" s="162" t="s">
        <v>2185</v>
      </c>
      <c r="Z177" s="163" t="s">
        <v>2191</v>
      </c>
      <c r="AA177" s="163">
        <v>1</v>
      </c>
      <c r="AB177" s="163">
        <v>1</v>
      </c>
      <c r="AC177" s="101">
        <v>1</v>
      </c>
      <c r="AD177" s="101">
        <v>1</v>
      </c>
      <c r="AE177" s="101" t="s">
        <v>2201</v>
      </c>
      <c r="AF177" s="102" t="str">
        <f>IF(ISERROR(VLOOKUP(AE177,小分類・セグメント!$A:$C,3,FALSE)),"",VLOOKUP(AE177,小分類・セグメント!$A:$C,3,FALSE))</f>
        <v>ECD</v>
      </c>
      <c r="AG177" s="103" t="str">
        <f>IF(ISERROR(VLOOKUP(AE177,小細分類・事業部マスタ!$E:$H,4,FALSE)),"",VLOOKUP(AE177,小細分類・事業部マスタ!$E:$H,4,FALSE))</f>
        <v>パワーデバイス事業部</v>
      </c>
      <c r="AH177" s="101" t="s">
        <v>2181</v>
      </c>
      <c r="AI177" s="104">
        <f>IF(ISERROR(VLOOKUP(AJ177,設置場所!$A:$B,2,FALSE)),"",VLOOKUP(AJ177,設置場所!$A:$B,2,FALSE))</f>
        <v>900000030</v>
      </c>
      <c r="AJ177" s="101" t="s">
        <v>2191</v>
      </c>
      <c r="AK177" s="101" t="s">
        <v>1331</v>
      </c>
      <c r="AL177" s="101" t="s">
        <v>1336</v>
      </c>
      <c r="AM177" s="101"/>
      <c r="AN177" s="101"/>
      <c r="AO177" s="101"/>
      <c r="AP177" s="101"/>
      <c r="AQ177" s="101"/>
      <c r="AR177" s="105"/>
      <c r="AS177" s="171"/>
    </row>
    <row r="178" spans="1:45">
      <c r="A178" s="131" t="s">
        <v>1224</v>
      </c>
      <c r="B178" s="156" t="s">
        <v>1337</v>
      </c>
      <c r="C178" s="156" t="s">
        <v>1321</v>
      </c>
      <c r="D178" s="156" t="s">
        <v>1525</v>
      </c>
      <c r="E178" s="156"/>
      <c r="F178" s="156" t="s">
        <v>1849</v>
      </c>
      <c r="G178" s="157">
        <v>44651</v>
      </c>
      <c r="H178" s="158" t="s">
        <v>1939</v>
      </c>
      <c r="I178" s="158" t="s">
        <v>2090</v>
      </c>
      <c r="J178" s="156" t="s">
        <v>2139</v>
      </c>
      <c r="K178" s="156" t="s">
        <v>2154</v>
      </c>
      <c r="L178" s="156" t="s">
        <v>2168</v>
      </c>
      <c r="M178" s="156">
        <v>8</v>
      </c>
      <c r="N178" s="159">
        <v>440000</v>
      </c>
      <c r="O178" s="160">
        <v>1</v>
      </c>
      <c r="P178" s="160">
        <v>1</v>
      </c>
      <c r="Q178" s="160">
        <v>0</v>
      </c>
      <c r="R178" s="159">
        <v>1</v>
      </c>
      <c r="S178" s="157"/>
      <c r="T178" s="157">
        <v>44651</v>
      </c>
      <c r="U178" s="161">
        <v>439999</v>
      </c>
      <c r="V178" s="158" t="s">
        <v>852</v>
      </c>
      <c r="W178" s="158" t="s">
        <v>627</v>
      </c>
      <c r="X178" s="158"/>
      <c r="Y178" s="162" t="s">
        <v>2185</v>
      </c>
      <c r="Z178" s="163" t="s">
        <v>2191</v>
      </c>
      <c r="AA178" s="163">
        <v>1</v>
      </c>
      <c r="AB178" s="163">
        <v>1</v>
      </c>
      <c r="AC178" s="101">
        <v>1</v>
      </c>
      <c r="AD178" s="101">
        <v>1</v>
      </c>
      <c r="AE178" s="101" t="s">
        <v>2201</v>
      </c>
      <c r="AF178" s="102" t="str">
        <f>IF(ISERROR(VLOOKUP(AE178,小分類・セグメント!$A:$C,3,FALSE)),"",VLOOKUP(AE178,小分類・セグメント!$A:$C,3,FALSE))</f>
        <v>ECD</v>
      </c>
      <c r="AG178" s="103" t="str">
        <f>IF(ISERROR(VLOOKUP(AE178,小細分類・事業部マスタ!$E:$H,4,FALSE)),"",VLOOKUP(AE178,小細分類・事業部マスタ!$E:$H,4,FALSE))</f>
        <v>パワーデバイス事業部</v>
      </c>
      <c r="AH178" s="101" t="s">
        <v>2181</v>
      </c>
      <c r="AI178" s="104">
        <f>IF(ISERROR(VLOOKUP(AJ178,設置場所!$A:$B,2,FALSE)),"",VLOOKUP(AJ178,設置場所!$A:$B,2,FALSE))</f>
        <v>900000030</v>
      </c>
      <c r="AJ178" s="101" t="s">
        <v>2191</v>
      </c>
      <c r="AK178" s="101" t="s">
        <v>1331</v>
      </c>
      <c r="AL178" s="101" t="s">
        <v>1336</v>
      </c>
      <c r="AM178" s="101"/>
      <c r="AN178" s="101"/>
      <c r="AO178" s="101"/>
      <c r="AP178" s="101"/>
      <c r="AQ178" s="101"/>
      <c r="AR178" s="105"/>
      <c r="AS178" s="171"/>
    </row>
    <row r="179" spans="1:45">
      <c r="A179" s="131" t="s">
        <v>1224</v>
      </c>
      <c r="B179" s="156" t="s">
        <v>1337</v>
      </c>
      <c r="C179" s="156" t="s">
        <v>1321</v>
      </c>
      <c r="D179" s="156" t="s">
        <v>1526</v>
      </c>
      <c r="E179" s="156"/>
      <c r="F179" s="156" t="s">
        <v>1850</v>
      </c>
      <c r="G179" s="157">
        <v>43437</v>
      </c>
      <c r="H179" s="158" t="s">
        <v>1942</v>
      </c>
      <c r="I179" s="158" t="s">
        <v>2025</v>
      </c>
      <c r="J179" s="156" t="s">
        <v>2142</v>
      </c>
      <c r="K179" s="156" t="s">
        <v>2157</v>
      </c>
      <c r="L179" s="156" t="s">
        <v>2168</v>
      </c>
      <c r="M179" s="156">
        <v>8</v>
      </c>
      <c r="N179" s="159">
        <v>1229948</v>
      </c>
      <c r="O179" s="160">
        <v>1</v>
      </c>
      <c r="P179" s="160">
        <v>1</v>
      </c>
      <c r="Q179" s="160">
        <v>0</v>
      </c>
      <c r="R179" s="159">
        <v>1</v>
      </c>
      <c r="S179" s="157"/>
      <c r="T179" s="157">
        <v>44286</v>
      </c>
      <c r="U179" s="161">
        <v>634192</v>
      </c>
      <c r="V179" s="158" t="s">
        <v>852</v>
      </c>
      <c r="W179" s="158" t="s">
        <v>627</v>
      </c>
      <c r="X179" s="158" t="s">
        <v>2169</v>
      </c>
      <c r="Y179" s="162" t="s">
        <v>2185</v>
      </c>
      <c r="Z179" s="163" t="s">
        <v>2191</v>
      </c>
      <c r="AA179" s="163">
        <v>1</v>
      </c>
      <c r="AB179" s="163">
        <v>1</v>
      </c>
      <c r="AC179" s="101">
        <v>1</v>
      </c>
      <c r="AD179" s="101">
        <v>1</v>
      </c>
      <c r="AE179" s="101" t="s">
        <v>2201</v>
      </c>
      <c r="AF179" s="102" t="str">
        <f>IF(ISERROR(VLOOKUP(AE179,小分類・セグメント!$A:$C,3,FALSE)),"",VLOOKUP(AE179,小分類・セグメント!$A:$C,3,FALSE))</f>
        <v>ECD</v>
      </c>
      <c r="AG179" s="103" t="str">
        <f>IF(ISERROR(VLOOKUP(AE179,小細分類・事業部マスタ!$E:$H,4,FALSE)),"",VLOOKUP(AE179,小細分類・事業部マスタ!$E:$H,4,FALSE))</f>
        <v>パワーデバイス事業部</v>
      </c>
      <c r="AH179" s="101" t="s">
        <v>2169</v>
      </c>
      <c r="AI179" s="104">
        <f>IF(ISERROR(VLOOKUP(AJ179,設置場所!$A:$B,2,FALSE)),"",VLOOKUP(AJ179,設置場所!$A:$B,2,FALSE))</f>
        <v>900000030</v>
      </c>
      <c r="AJ179" s="101" t="s">
        <v>2191</v>
      </c>
      <c r="AK179" s="101" t="s">
        <v>1331</v>
      </c>
      <c r="AL179" s="101" t="s">
        <v>1336</v>
      </c>
      <c r="AM179" s="101"/>
      <c r="AN179" s="101"/>
      <c r="AO179" s="101"/>
      <c r="AP179" s="101"/>
      <c r="AQ179" s="101"/>
      <c r="AR179" s="105"/>
      <c r="AS179" s="171"/>
    </row>
    <row r="180" spans="1:45">
      <c r="A180" s="131" t="s">
        <v>1224</v>
      </c>
      <c r="B180" s="156" t="s">
        <v>1337</v>
      </c>
      <c r="C180" s="156" t="s">
        <v>1321</v>
      </c>
      <c r="D180" s="156" t="s">
        <v>1527</v>
      </c>
      <c r="E180" s="156"/>
      <c r="F180" s="156" t="s">
        <v>1851</v>
      </c>
      <c r="G180" s="157">
        <v>43437</v>
      </c>
      <c r="H180" s="158" t="s">
        <v>1942</v>
      </c>
      <c r="I180" s="158" t="s">
        <v>2025</v>
      </c>
      <c r="J180" s="156" t="s">
        <v>2142</v>
      </c>
      <c r="K180" s="156" t="s">
        <v>2157</v>
      </c>
      <c r="L180" s="156" t="s">
        <v>2168</v>
      </c>
      <c r="M180" s="156">
        <v>8</v>
      </c>
      <c r="N180" s="159">
        <v>1229948</v>
      </c>
      <c r="O180" s="160">
        <v>1</v>
      </c>
      <c r="P180" s="160">
        <v>1</v>
      </c>
      <c r="Q180" s="160">
        <v>0</v>
      </c>
      <c r="R180" s="159">
        <v>1</v>
      </c>
      <c r="S180" s="157"/>
      <c r="T180" s="157">
        <v>44286</v>
      </c>
      <c r="U180" s="161">
        <v>634192</v>
      </c>
      <c r="V180" s="158" t="s">
        <v>852</v>
      </c>
      <c r="W180" s="158" t="s">
        <v>627</v>
      </c>
      <c r="X180" s="158" t="s">
        <v>2169</v>
      </c>
      <c r="Y180" s="162" t="s">
        <v>2185</v>
      </c>
      <c r="Z180" s="163" t="s">
        <v>2191</v>
      </c>
      <c r="AA180" s="163">
        <v>1</v>
      </c>
      <c r="AB180" s="163">
        <v>1</v>
      </c>
      <c r="AC180" s="101">
        <v>1</v>
      </c>
      <c r="AD180" s="101">
        <v>1</v>
      </c>
      <c r="AE180" s="101" t="s">
        <v>2201</v>
      </c>
      <c r="AF180" s="102" t="str">
        <f>IF(ISERROR(VLOOKUP(AE180,小分類・セグメント!$A:$C,3,FALSE)),"",VLOOKUP(AE180,小分類・セグメント!$A:$C,3,FALSE))</f>
        <v>ECD</v>
      </c>
      <c r="AG180" s="103" t="str">
        <f>IF(ISERROR(VLOOKUP(AE180,小細分類・事業部マスタ!$E:$H,4,FALSE)),"",VLOOKUP(AE180,小細分類・事業部マスタ!$E:$H,4,FALSE))</f>
        <v>パワーデバイス事業部</v>
      </c>
      <c r="AH180" s="101" t="s">
        <v>2169</v>
      </c>
      <c r="AI180" s="104">
        <f>IF(ISERROR(VLOOKUP(AJ180,設置場所!$A:$B,2,FALSE)),"",VLOOKUP(AJ180,設置場所!$A:$B,2,FALSE))</f>
        <v>900000030</v>
      </c>
      <c r="AJ180" s="101" t="s">
        <v>2191</v>
      </c>
      <c r="AK180" s="101" t="s">
        <v>1331</v>
      </c>
      <c r="AL180" s="101" t="s">
        <v>1336</v>
      </c>
      <c r="AM180" s="101"/>
      <c r="AN180" s="101"/>
      <c r="AO180" s="101"/>
      <c r="AP180" s="101"/>
      <c r="AQ180" s="101"/>
      <c r="AR180" s="105"/>
      <c r="AS180" s="171"/>
    </row>
    <row r="181" spans="1:45">
      <c r="A181" s="131" t="s">
        <v>1224</v>
      </c>
      <c r="B181" s="156" t="s">
        <v>1337</v>
      </c>
      <c r="C181" s="156" t="s">
        <v>1321</v>
      </c>
      <c r="D181" s="156" t="s">
        <v>1528</v>
      </c>
      <c r="E181" s="156"/>
      <c r="F181" s="156" t="s">
        <v>1852</v>
      </c>
      <c r="G181" s="157">
        <v>43553</v>
      </c>
      <c r="H181" s="158" t="s">
        <v>1942</v>
      </c>
      <c r="I181" s="158" t="s">
        <v>2091</v>
      </c>
      <c r="J181" s="156" t="s">
        <v>2142</v>
      </c>
      <c r="K181" s="156" t="s">
        <v>2157</v>
      </c>
      <c r="L181" s="156" t="s">
        <v>2168</v>
      </c>
      <c r="M181" s="156">
        <v>8</v>
      </c>
      <c r="N181" s="159">
        <v>1229948</v>
      </c>
      <c r="O181" s="160">
        <v>1</v>
      </c>
      <c r="P181" s="160">
        <v>1</v>
      </c>
      <c r="Q181" s="160">
        <v>0</v>
      </c>
      <c r="R181" s="159">
        <v>1</v>
      </c>
      <c r="S181" s="157"/>
      <c r="T181" s="157">
        <v>44286</v>
      </c>
      <c r="U181" s="161">
        <v>677432</v>
      </c>
      <c r="V181" s="158" t="s">
        <v>852</v>
      </c>
      <c r="W181" s="158" t="s">
        <v>627</v>
      </c>
      <c r="X181" s="158" t="s">
        <v>2169</v>
      </c>
      <c r="Y181" s="162" t="s">
        <v>2185</v>
      </c>
      <c r="Z181" s="163" t="s">
        <v>2191</v>
      </c>
      <c r="AA181" s="163">
        <v>1</v>
      </c>
      <c r="AB181" s="163">
        <v>1</v>
      </c>
      <c r="AC181" s="101">
        <v>1</v>
      </c>
      <c r="AD181" s="101">
        <v>1</v>
      </c>
      <c r="AE181" s="101" t="s">
        <v>2201</v>
      </c>
      <c r="AF181" s="102" t="str">
        <f>IF(ISERROR(VLOOKUP(AE181,小分類・セグメント!$A:$C,3,FALSE)),"",VLOOKUP(AE181,小分類・セグメント!$A:$C,3,FALSE))</f>
        <v>ECD</v>
      </c>
      <c r="AG181" s="103" t="str">
        <f>IF(ISERROR(VLOOKUP(AE181,小細分類・事業部マスタ!$E:$H,4,FALSE)),"",VLOOKUP(AE181,小細分類・事業部マスタ!$E:$H,4,FALSE))</f>
        <v>パワーデバイス事業部</v>
      </c>
      <c r="AH181" s="101" t="s">
        <v>2169</v>
      </c>
      <c r="AI181" s="104">
        <f>IF(ISERROR(VLOOKUP(AJ181,設置場所!$A:$B,2,FALSE)),"",VLOOKUP(AJ181,設置場所!$A:$B,2,FALSE))</f>
        <v>900000030</v>
      </c>
      <c r="AJ181" s="101" t="s">
        <v>2191</v>
      </c>
      <c r="AK181" s="101" t="s">
        <v>1331</v>
      </c>
      <c r="AL181" s="101" t="s">
        <v>1336</v>
      </c>
      <c r="AM181" s="101"/>
      <c r="AN181" s="101"/>
      <c r="AO181" s="101"/>
      <c r="AP181" s="101"/>
      <c r="AQ181" s="101"/>
      <c r="AR181" s="105"/>
      <c r="AS181" s="171"/>
    </row>
    <row r="182" spans="1:45">
      <c r="A182" s="131" t="s">
        <v>1224</v>
      </c>
      <c r="B182" s="156" t="s">
        <v>1337</v>
      </c>
      <c r="C182" s="156" t="s">
        <v>1321</v>
      </c>
      <c r="D182" s="156" t="s">
        <v>1529</v>
      </c>
      <c r="E182" s="156"/>
      <c r="F182" s="156" t="s">
        <v>1853</v>
      </c>
      <c r="G182" s="157">
        <v>43553</v>
      </c>
      <c r="H182" s="158" t="s">
        <v>1942</v>
      </c>
      <c r="I182" s="158" t="s">
        <v>2091</v>
      </c>
      <c r="J182" s="156" t="s">
        <v>2142</v>
      </c>
      <c r="K182" s="156" t="s">
        <v>2157</v>
      </c>
      <c r="L182" s="156" t="s">
        <v>2168</v>
      </c>
      <c r="M182" s="156">
        <v>8</v>
      </c>
      <c r="N182" s="159">
        <v>1408000</v>
      </c>
      <c r="O182" s="160">
        <v>1</v>
      </c>
      <c r="P182" s="160">
        <v>1</v>
      </c>
      <c r="Q182" s="160">
        <v>0</v>
      </c>
      <c r="R182" s="159">
        <v>1</v>
      </c>
      <c r="S182" s="157"/>
      <c r="T182" s="157">
        <v>44286</v>
      </c>
      <c r="U182" s="161">
        <v>775500</v>
      </c>
      <c r="V182" s="158" t="s">
        <v>852</v>
      </c>
      <c r="W182" s="158" t="s">
        <v>627</v>
      </c>
      <c r="X182" s="158" t="s">
        <v>2169</v>
      </c>
      <c r="Y182" s="162" t="s">
        <v>2185</v>
      </c>
      <c r="Z182" s="163" t="s">
        <v>2191</v>
      </c>
      <c r="AA182" s="163">
        <v>1</v>
      </c>
      <c r="AB182" s="163">
        <v>1</v>
      </c>
      <c r="AC182" s="101">
        <v>1</v>
      </c>
      <c r="AD182" s="101">
        <v>1</v>
      </c>
      <c r="AE182" s="101" t="s">
        <v>2201</v>
      </c>
      <c r="AF182" s="102" t="str">
        <f>IF(ISERROR(VLOOKUP(AE182,小分類・セグメント!$A:$C,3,FALSE)),"",VLOOKUP(AE182,小分類・セグメント!$A:$C,3,FALSE))</f>
        <v>ECD</v>
      </c>
      <c r="AG182" s="103" t="str">
        <f>IF(ISERROR(VLOOKUP(AE182,小細分類・事業部マスタ!$E:$H,4,FALSE)),"",VLOOKUP(AE182,小細分類・事業部マスタ!$E:$H,4,FALSE))</f>
        <v>パワーデバイス事業部</v>
      </c>
      <c r="AH182" s="101" t="s">
        <v>2169</v>
      </c>
      <c r="AI182" s="104">
        <f>IF(ISERROR(VLOOKUP(AJ182,設置場所!$A:$B,2,FALSE)),"",VLOOKUP(AJ182,設置場所!$A:$B,2,FALSE))</f>
        <v>900000030</v>
      </c>
      <c r="AJ182" s="101" t="s">
        <v>2191</v>
      </c>
      <c r="AK182" s="101" t="s">
        <v>1331</v>
      </c>
      <c r="AL182" s="101" t="s">
        <v>1336</v>
      </c>
      <c r="AM182" s="101"/>
      <c r="AN182" s="101"/>
      <c r="AO182" s="101"/>
      <c r="AP182" s="101"/>
      <c r="AQ182" s="101"/>
      <c r="AR182" s="105"/>
      <c r="AS182" s="171"/>
    </row>
    <row r="183" spans="1:45">
      <c r="A183" s="131" t="s">
        <v>1224</v>
      </c>
      <c r="B183" s="156" t="s">
        <v>1337</v>
      </c>
      <c r="C183" s="156" t="s">
        <v>1320</v>
      </c>
      <c r="D183" s="156" t="s">
        <v>1530</v>
      </c>
      <c r="E183" s="156" t="s">
        <v>1636</v>
      </c>
      <c r="F183" s="156" t="s">
        <v>1854</v>
      </c>
      <c r="G183" s="157">
        <v>36434</v>
      </c>
      <c r="H183" s="158" t="s">
        <v>1918</v>
      </c>
      <c r="I183" s="158"/>
      <c r="J183" s="156" t="s">
        <v>2144</v>
      </c>
      <c r="K183" s="156" t="s">
        <v>2159</v>
      </c>
      <c r="L183" s="156" t="s">
        <v>2166</v>
      </c>
      <c r="M183" s="156">
        <v>8</v>
      </c>
      <c r="N183" s="159">
        <v>1417130</v>
      </c>
      <c r="O183" s="160">
        <v>1</v>
      </c>
      <c r="P183" s="160">
        <v>1</v>
      </c>
      <c r="Q183" s="160">
        <v>0</v>
      </c>
      <c r="R183" s="159">
        <v>1</v>
      </c>
      <c r="S183" s="157"/>
      <c r="T183" s="114"/>
      <c r="U183" s="161">
        <v>0</v>
      </c>
      <c r="V183" s="158" t="s">
        <v>852</v>
      </c>
      <c r="W183" s="158" t="s">
        <v>627</v>
      </c>
      <c r="X183" s="158"/>
      <c r="Y183" s="162" t="s">
        <v>2185</v>
      </c>
      <c r="Z183" s="163" t="s">
        <v>2191</v>
      </c>
      <c r="AA183" s="163">
        <v>1</v>
      </c>
      <c r="AB183" s="163">
        <v>1</v>
      </c>
      <c r="AC183" s="101">
        <v>1</v>
      </c>
      <c r="AD183" s="101">
        <v>1</v>
      </c>
      <c r="AE183" s="101" t="s">
        <v>2201</v>
      </c>
      <c r="AF183" s="102" t="str">
        <f>IF(ISERROR(VLOOKUP(AE183,小分類・セグメント!$A:$C,3,FALSE)),"",VLOOKUP(AE183,小分類・セグメント!$A:$C,3,FALSE))</f>
        <v>ECD</v>
      </c>
      <c r="AG183" s="103" t="str">
        <f>IF(ISERROR(VLOOKUP(AE183,小細分類・事業部マスタ!$E:$H,4,FALSE)),"",VLOOKUP(AE183,小細分類・事業部マスタ!$E:$H,4,FALSE))</f>
        <v>パワーデバイス事業部</v>
      </c>
      <c r="AH183" s="101" t="s">
        <v>2169</v>
      </c>
      <c r="AI183" s="104">
        <f>IF(ISERROR(VLOOKUP(AJ183,設置場所!$A:$B,2,FALSE)),"",VLOOKUP(AJ183,設置場所!$A:$B,2,FALSE))</f>
        <v>900000030</v>
      </c>
      <c r="AJ183" s="101" t="s">
        <v>2191</v>
      </c>
      <c r="AK183" s="101" t="s">
        <v>1331</v>
      </c>
      <c r="AL183" s="101" t="s">
        <v>1336</v>
      </c>
      <c r="AM183" s="101"/>
      <c r="AN183" s="101"/>
      <c r="AO183" s="101"/>
      <c r="AP183" s="101"/>
      <c r="AQ183" s="101"/>
      <c r="AR183" s="105"/>
      <c r="AS183" s="171"/>
    </row>
    <row r="184" spans="1:45">
      <c r="A184" s="131" t="s">
        <v>1224</v>
      </c>
      <c r="B184" s="156" t="s">
        <v>1337</v>
      </c>
      <c r="C184" s="156" t="s">
        <v>1320</v>
      </c>
      <c r="D184" s="156" t="s">
        <v>1531</v>
      </c>
      <c r="E184" s="156" t="s">
        <v>1637</v>
      </c>
      <c r="F184" s="156" t="s">
        <v>1855</v>
      </c>
      <c r="G184" s="157">
        <v>36434</v>
      </c>
      <c r="H184" s="158" t="s">
        <v>1918</v>
      </c>
      <c r="I184" s="158"/>
      <c r="J184" s="156" t="s">
        <v>2144</v>
      </c>
      <c r="K184" s="156" t="s">
        <v>2159</v>
      </c>
      <c r="L184" s="156" t="s">
        <v>2166</v>
      </c>
      <c r="M184" s="156">
        <v>5</v>
      </c>
      <c r="N184" s="159">
        <v>263000</v>
      </c>
      <c r="O184" s="160">
        <v>1</v>
      </c>
      <c r="P184" s="160">
        <v>1</v>
      </c>
      <c r="Q184" s="160">
        <v>0</v>
      </c>
      <c r="R184" s="159">
        <v>1</v>
      </c>
      <c r="S184" s="157"/>
      <c r="T184" s="114"/>
      <c r="U184" s="161">
        <v>0</v>
      </c>
      <c r="V184" s="158" t="s">
        <v>852</v>
      </c>
      <c r="W184" s="158" t="s">
        <v>627</v>
      </c>
      <c r="X184" s="158"/>
      <c r="Y184" s="162" t="s">
        <v>2185</v>
      </c>
      <c r="Z184" s="163" t="s">
        <v>2191</v>
      </c>
      <c r="AA184" s="163">
        <v>1</v>
      </c>
      <c r="AB184" s="163">
        <v>1</v>
      </c>
      <c r="AC184" s="101">
        <v>1</v>
      </c>
      <c r="AD184" s="101">
        <v>1</v>
      </c>
      <c r="AE184" s="101" t="s">
        <v>2201</v>
      </c>
      <c r="AF184" s="102" t="str">
        <f>IF(ISERROR(VLOOKUP(AE184,小分類・セグメント!$A:$C,3,FALSE)),"",VLOOKUP(AE184,小分類・セグメント!$A:$C,3,FALSE))</f>
        <v>ECD</v>
      </c>
      <c r="AG184" s="103" t="str">
        <f>IF(ISERROR(VLOOKUP(AE184,小細分類・事業部マスタ!$E:$H,4,FALSE)),"",VLOOKUP(AE184,小細分類・事業部マスタ!$E:$H,4,FALSE))</f>
        <v>パワーデバイス事業部</v>
      </c>
      <c r="AH184" s="101" t="s">
        <v>2169</v>
      </c>
      <c r="AI184" s="104">
        <f>IF(ISERROR(VLOOKUP(AJ184,設置場所!$A:$B,2,FALSE)),"",VLOOKUP(AJ184,設置場所!$A:$B,2,FALSE))</f>
        <v>900000030</v>
      </c>
      <c r="AJ184" s="101" t="s">
        <v>2191</v>
      </c>
      <c r="AK184" s="101" t="s">
        <v>1331</v>
      </c>
      <c r="AL184" s="101" t="s">
        <v>1336</v>
      </c>
      <c r="AM184" s="101"/>
      <c r="AN184" s="101"/>
      <c r="AO184" s="101"/>
      <c r="AP184" s="101"/>
      <c r="AQ184" s="101"/>
      <c r="AR184" s="105"/>
      <c r="AS184" s="171"/>
    </row>
    <row r="185" spans="1:45">
      <c r="A185" s="131" t="s">
        <v>1224</v>
      </c>
      <c r="B185" s="156" t="s">
        <v>1337</v>
      </c>
      <c r="C185" s="156" t="s">
        <v>1320</v>
      </c>
      <c r="D185" s="156" t="s">
        <v>1532</v>
      </c>
      <c r="E185" s="156" t="s">
        <v>1638</v>
      </c>
      <c r="F185" s="156" t="s">
        <v>1855</v>
      </c>
      <c r="G185" s="157">
        <v>36586</v>
      </c>
      <c r="H185" s="158" t="s">
        <v>1918</v>
      </c>
      <c r="I185" s="158"/>
      <c r="J185" s="156" t="s">
        <v>2142</v>
      </c>
      <c r="K185" s="156" t="s">
        <v>2157</v>
      </c>
      <c r="L185" s="156" t="s">
        <v>2166</v>
      </c>
      <c r="M185" s="156">
        <v>15</v>
      </c>
      <c r="N185" s="159">
        <v>231700</v>
      </c>
      <c r="O185" s="160">
        <v>1</v>
      </c>
      <c r="P185" s="160">
        <v>1</v>
      </c>
      <c r="Q185" s="160">
        <v>0</v>
      </c>
      <c r="R185" s="159">
        <v>1</v>
      </c>
      <c r="S185" s="157"/>
      <c r="T185" s="114"/>
      <c r="U185" s="161">
        <v>0</v>
      </c>
      <c r="V185" s="158" t="s">
        <v>852</v>
      </c>
      <c r="W185" s="158" t="s">
        <v>627</v>
      </c>
      <c r="X185" s="158" t="s">
        <v>2169</v>
      </c>
      <c r="Y185" s="162" t="s">
        <v>2185</v>
      </c>
      <c r="Z185" s="163" t="s">
        <v>2191</v>
      </c>
      <c r="AA185" s="163">
        <v>1</v>
      </c>
      <c r="AB185" s="163">
        <v>1</v>
      </c>
      <c r="AC185" s="101">
        <v>1</v>
      </c>
      <c r="AD185" s="101">
        <v>1</v>
      </c>
      <c r="AE185" s="101" t="s">
        <v>2201</v>
      </c>
      <c r="AF185" s="102" t="str">
        <f>IF(ISERROR(VLOOKUP(AE185,小分類・セグメント!$A:$C,3,FALSE)),"",VLOOKUP(AE185,小分類・セグメント!$A:$C,3,FALSE))</f>
        <v>ECD</v>
      </c>
      <c r="AG185" s="103" t="str">
        <f>IF(ISERROR(VLOOKUP(AE185,小細分類・事業部マスタ!$E:$H,4,FALSE)),"",VLOOKUP(AE185,小細分類・事業部マスタ!$E:$H,4,FALSE))</f>
        <v>パワーデバイス事業部</v>
      </c>
      <c r="AH185" s="101" t="s">
        <v>2169</v>
      </c>
      <c r="AI185" s="104">
        <f>IF(ISERROR(VLOOKUP(AJ185,設置場所!$A:$B,2,FALSE)),"",VLOOKUP(AJ185,設置場所!$A:$B,2,FALSE))</f>
        <v>900000030</v>
      </c>
      <c r="AJ185" s="101" t="s">
        <v>2191</v>
      </c>
      <c r="AK185" s="101" t="s">
        <v>1331</v>
      </c>
      <c r="AL185" s="101" t="s">
        <v>1336</v>
      </c>
      <c r="AM185" s="101"/>
      <c r="AN185" s="101"/>
      <c r="AO185" s="101"/>
      <c r="AP185" s="101"/>
      <c r="AQ185" s="101"/>
      <c r="AR185" s="105"/>
      <c r="AS185" s="171"/>
    </row>
    <row r="186" spans="1:45">
      <c r="A186" s="131" t="s">
        <v>1224</v>
      </c>
      <c r="B186" s="156" t="s">
        <v>1337</v>
      </c>
      <c r="C186" s="156" t="s">
        <v>1320</v>
      </c>
      <c r="D186" s="156" t="s">
        <v>1533</v>
      </c>
      <c r="E186" s="156" t="s">
        <v>1639</v>
      </c>
      <c r="F186" s="156" t="s">
        <v>1855</v>
      </c>
      <c r="G186" s="157">
        <v>36831</v>
      </c>
      <c r="H186" s="158" t="s">
        <v>1918</v>
      </c>
      <c r="I186" s="158"/>
      <c r="J186" s="156" t="s">
        <v>2142</v>
      </c>
      <c r="K186" s="156" t="s">
        <v>2157</v>
      </c>
      <c r="L186" s="156" t="s">
        <v>2166</v>
      </c>
      <c r="M186" s="156">
        <v>5</v>
      </c>
      <c r="N186" s="159">
        <v>340000</v>
      </c>
      <c r="O186" s="160">
        <v>1</v>
      </c>
      <c r="P186" s="160">
        <v>1</v>
      </c>
      <c r="Q186" s="160">
        <v>0</v>
      </c>
      <c r="R186" s="159">
        <v>1</v>
      </c>
      <c r="S186" s="157"/>
      <c r="T186" s="114"/>
      <c r="U186" s="161">
        <v>0</v>
      </c>
      <c r="V186" s="158" t="s">
        <v>852</v>
      </c>
      <c r="W186" s="158" t="s">
        <v>627</v>
      </c>
      <c r="X186" s="158"/>
      <c r="Y186" s="162" t="s">
        <v>2185</v>
      </c>
      <c r="Z186" s="163" t="s">
        <v>2191</v>
      </c>
      <c r="AA186" s="163">
        <v>1</v>
      </c>
      <c r="AB186" s="163">
        <v>4</v>
      </c>
      <c r="AC186" s="101">
        <v>1</v>
      </c>
      <c r="AD186" s="101">
        <v>4</v>
      </c>
      <c r="AE186" s="101" t="s">
        <v>2201</v>
      </c>
      <c r="AF186" s="102" t="str">
        <f>IF(ISERROR(VLOOKUP(AE186,小分類・セグメント!$A:$C,3,FALSE)),"",VLOOKUP(AE186,小分類・セグメント!$A:$C,3,FALSE))</f>
        <v>ECD</v>
      </c>
      <c r="AG186" s="103" t="str">
        <f>IF(ISERROR(VLOOKUP(AE186,小細分類・事業部マスタ!$E:$H,4,FALSE)),"",VLOOKUP(AE186,小細分類・事業部マスタ!$E:$H,4,FALSE))</f>
        <v>パワーデバイス事業部</v>
      </c>
      <c r="AH186" s="101" t="s">
        <v>2169</v>
      </c>
      <c r="AI186" s="104">
        <f>IF(ISERROR(VLOOKUP(AJ186,設置場所!$A:$B,2,FALSE)),"",VLOOKUP(AJ186,設置場所!$A:$B,2,FALSE))</f>
        <v>900000030</v>
      </c>
      <c r="AJ186" s="101" t="s">
        <v>2191</v>
      </c>
      <c r="AK186" s="101" t="s">
        <v>1331</v>
      </c>
      <c r="AL186" s="101" t="s">
        <v>1336</v>
      </c>
      <c r="AM186" s="101"/>
      <c r="AN186" s="101"/>
      <c r="AO186" s="101"/>
      <c r="AP186" s="101"/>
      <c r="AQ186" s="101"/>
      <c r="AR186" s="105"/>
      <c r="AS186" s="171"/>
    </row>
    <row r="187" spans="1:45">
      <c r="A187" s="131" t="s">
        <v>1224</v>
      </c>
      <c r="B187" s="156" t="s">
        <v>1337</v>
      </c>
      <c r="C187" s="156" t="s">
        <v>1320</v>
      </c>
      <c r="D187" s="156" t="s">
        <v>1534</v>
      </c>
      <c r="E187" s="156" t="s">
        <v>1640</v>
      </c>
      <c r="F187" s="156" t="s">
        <v>1856</v>
      </c>
      <c r="G187" s="157">
        <v>38322</v>
      </c>
      <c r="H187" s="158" t="s">
        <v>1918</v>
      </c>
      <c r="I187" s="158"/>
      <c r="J187" s="156" t="s">
        <v>2143</v>
      </c>
      <c r="K187" s="156" t="s">
        <v>2158</v>
      </c>
      <c r="L187" s="156" t="s">
        <v>2166</v>
      </c>
      <c r="M187" s="156">
        <v>8</v>
      </c>
      <c r="N187" s="159">
        <v>135206</v>
      </c>
      <c r="O187" s="160">
        <v>1</v>
      </c>
      <c r="P187" s="160">
        <v>1</v>
      </c>
      <c r="Q187" s="160">
        <v>0</v>
      </c>
      <c r="R187" s="159">
        <v>1</v>
      </c>
      <c r="S187" s="157"/>
      <c r="T187" s="114"/>
      <c r="U187" s="161">
        <v>0</v>
      </c>
      <c r="V187" s="158" t="s">
        <v>852</v>
      </c>
      <c r="W187" s="158" t="s">
        <v>627</v>
      </c>
      <c r="X187" s="158" t="s">
        <v>2183</v>
      </c>
      <c r="Y187" s="162" t="s">
        <v>2185</v>
      </c>
      <c r="Z187" s="163" t="s">
        <v>2191</v>
      </c>
      <c r="AA187" s="163">
        <v>1</v>
      </c>
      <c r="AB187" s="163">
        <v>1</v>
      </c>
      <c r="AC187" s="101">
        <v>1</v>
      </c>
      <c r="AD187" s="101">
        <v>1</v>
      </c>
      <c r="AE187" s="101" t="s">
        <v>2201</v>
      </c>
      <c r="AF187" s="102" t="str">
        <f>IF(ISERROR(VLOOKUP(AE187,小分類・セグメント!$A:$C,3,FALSE)),"",VLOOKUP(AE187,小分類・セグメント!$A:$C,3,FALSE))</f>
        <v>ECD</v>
      </c>
      <c r="AG187" s="103" t="str">
        <f>IF(ISERROR(VLOOKUP(AE187,小細分類・事業部マスタ!$E:$H,4,FALSE)),"",VLOOKUP(AE187,小細分類・事業部マスタ!$E:$H,4,FALSE))</f>
        <v>パワーデバイス事業部</v>
      </c>
      <c r="AH187" s="101" t="s">
        <v>2183</v>
      </c>
      <c r="AI187" s="104">
        <f>IF(ISERROR(VLOOKUP(AJ187,設置場所!$A:$B,2,FALSE)),"",VLOOKUP(AJ187,設置場所!$A:$B,2,FALSE))</f>
        <v>900000030</v>
      </c>
      <c r="AJ187" s="101" t="s">
        <v>2191</v>
      </c>
      <c r="AK187" s="101" t="s">
        <v>1331</v>
      </c>
      <c r="AL187" s="101" t="s">
        <v>1336</v>
      </c>
      <c r="AM187" s="101"/>
      <c r="AN187" s="101"/>
      <c r="AO187" s="101"/>
      <c r="AP187" s="101"/>
      <c r="AQ187" s="101"/>
      <c r="AR187" s="105"/>
      <c r="AS187" s="171"/>
    </row>
    <row r="188" spans="1:45">
      <c r="A188" s="131" t="s">
        <v>1224</v>
      </c>
      <c r="B188" s="156" t="s">
        <v>1337</v>
      </c>
      <c r="C188" s="156" t="s">
        <v>1320</v>
      </c>
      <c r="D188" s="156" t="s">
        <v>1535</v>
      </c>
      <c r="E188" s="156" t="s">
        <v>1641</v>
      </c>
      <c r="F188" s="156" t="s">
        <v>1857</v>
      </c>
      <c r="G188" s="157">
        <v>39175</v>
      </c>
      <c r="H188" s="158" t="s">
        <v>1918</v>
      </c>
      <c r="I188" s="158" t="s">
        <v>2092</v>
      </c>
      <c r="J188" s="156" t="s">
        <v>2141</v>
      </c>
      <c r="K188" s="156" t="s">
        <v>2156</v>
      </c>
      <c r="L188" s="156" t="s">
        <v>2167</v>
      </c>
      <c r="M188" s="156">
        <v>5</v>
      </c>
      <c r="N188" s="159">
        <v>648000</v>
      </c>
      <c r="O188" s="160">
        <v>1</v>
      </c>
      <c r="P188" s="160">
        <v>1</v>
      </c>
      <c r="Q188" s="160">
        <v>0</v>
      </c>
      <c r="R188" s="159">
        <v>1</v>
      </c>
      <c r="S188" s="157"/>
      <c r="T188" s="114"/>
      <c r="U188" s="161">
        <v>0</v>
      </c>
      <c r="V188" s="158" t="s">
        <v>852</v>
      </c>
      <c r="W188" s="158" t="s">
        <v>627</v>
      </c>
      <c r="X188" s="158"/>
      <c r="Y188" s="162" t="s">
        <v>2185</v>
      </c>
      <c r="Z188" s="163" t="s">
        <v>2191</v>
      </c>
      <c r="AA188" s="163">
        <v>1</v>
      </c>
      <c r="AB188" s="163">
        <v>1</v>
      </c>
      <c r="AC188" s="101">
        <v>1</v>
      </c>
      <c r="AD188" s="101">
        <v>1</v>
      </c>
      <c r="AE188" s="101" t="s">
        <v>2201</v>
      </c>
      <c r="AF188" s="102" t="str">
        <f>IF(ISERROR(VLOOKUP(AE188,小分類・セグメント!$A:$C,3,FALSE)),"",VLOOKUP(AE188,小分類・セグメント!$A:$C,3,FALSE))</f>
        <v>ECD</v>
      </c>
      <c r="AG188" s="103" t="str">
        <f>IF(ISERROR(VLOOKUP(AE188,小細分類・事業部マスタ!$E:$H,4,FALSE)),"",VLOOKUP(AE188,小細分類・事業部マスタ!$E:$H,4,FALSE))</f>
        <v>パワーデバイス事業部</v>
      </c>
      <c r="AH188" s="101" t="s">
        <v>2169</v>
      </c>
      <c r="AI188" s="104">
        <f>IF(ISERROR(VLOOKUP(AJ188,設置場所!$A:$B,2,FALSE)),"",VLOOKUP(AJ188,設置場所!$A:$B,2,FALSE))</f>
        <v>900000030</v>
      </c>
      <c r="AJ188" s="101" t="s">
        <v>2191</v>
      </c>
      <c r="AK188" s="101" t="s">
        <v>1331</v>
      </c>
      <c r="AL188" s="101" t="s">
        <v>1336</v>
      </c>
      <c r="AM188" s="101"/>
      <c r="AN188" s="101"/>
      <c r="AO188" s="101"/>
      <c r="AP188" s="101"/>
      <c r="AQ188" s="101"/>
      <c r="AR188" s="105"/>
      <c r="AS188" s="171"/>
    </row>
    <row r="189" spans="1:45">
      <c r="A189" s="131" t="s">
        <v>1224</v>
      </c>
      <c r="B189" s="156" t="s">
        <v>1337</v>
      </c>
      <c r="C189" s="156" t="s">
        <v>1320</v>
      </c>
      <c r="D189" s="156" t="s">
        <v>1536</v>
      </c>
      <c r="E189" s="156" t="s">
        <v>1642</v>
      </c>
      <c r="F189" s="156" t="s">
        <v>1858</v>
      </c>
      <c r="G189" s="157">
        <v>39416</v>
      </c>
      <c r="H189" s="158" t="s">
        <v>1931</v>
      </c>
      <c r="I189" s="158" t="s">
        <v>2093</v>
      </c>
      <c r="J189" s="156" t="s">
        <v>2148</v>
      </c>
      <c r="K189" s="156" t="s">
        <v>2163</v>
      </c>
      <c r="L189" s="156" t="s">
        <v>2167</v>
      </c>
      <c r="M189" s="156">
        <v>5</v>
      </c>
      <c r="N189" s="159">
        <v>388000</v>
      </c>
      <c r="O189" s="160">
        <v>1</v>
      </c>
      <c r="P189" s="160">
        <v>1</v>
      </c>
      <c r="Q189" s="160">
        <v>0</v>
      </c>
      <c r="R189" s="159">
        <v>1</v>
      </c>
      <c r="S189" s="157"/>
      <c r="T189" s="114"/>
      <c r="U189" s="161">
        <v>0</v>
      </c>
      <c r="V189" s="158" t="s">
        <v>852</v>
      </c>
      <c r="W189" s="158" t="s">
        <v>627</v>
      </c>
      <c r="X189" s="158" t="s">
        <v>2183</v>
      </c>
      <c r="Y189" s="162" t="s">
        <v>2185</v>
      </c>
      <c r="Z189" s="163" t="s">
        <v>2191</v>
      </c>
      <c r="AA189" s="163">
        <v>1</v>
      </c>
      <c r="AB189" s="163">
        <v>1</v>
      </c>
      <c r="AC189" s="101">
        <v>1</v>
      </c>
      <c r="AD189" s="101">
        <v>1</v>
      </c>
      <c r="AE189" s="101" t="s">
        <v>2201</v>
      </c>
      <c r="AF189" s="102" t="str">
        <f>IF(ISERROR(VLOOKUP(AE189,小分類・セグメント!$A:$C,3,FALSE)),"",VLOOKUP(AE189,小分類・セグメント!$A:$C,3,FALSE))</f>
        <v>ECD</v>
      </c>
      <c r="AG189" s="103" t="str">
        <f>IF(ISERROR(VLOOKUP(AE189,小細分類・事業部マスタ!$E:$H,4,FALSE)),"",VLOOKUP(AE189,小細分類・事業部マスタ!$E:$H,4,FALSE))</f>
        <v>パワーデバイス事業部</v>
      </c>
      <c r="AH189" s="101" t="s">
        <v>2183</v>
      </c>
      <c r="AI189" s="104">
        <f>IF(ISERROR(VLOOKUP(AJ189,設置場所!$A:$B,2,FALSE)),"",VLOOKUP(AJ189,設置場所!$A:$B,2,FALSE))</f>
        <v>900000030</v>
      </c>
      <c r="AJ189" s="101" t="s">
        <v>2191</v>
      </c>
      <c r="AK189" s="101" t="s">
        <v>1331</v>
      </c>
      <c r="AL189" s="101" t="s">
        <v>1336</v>
      </c>
      <c r="AM189" s="101"/>
      <c r="AN189" s="101"/>
      <c r="AO189" s="101"/>
      <c r="AP189" s="101"/>
      <c r="AQ189" s="101"/>
      <c r="AR189" s="105"/>
      <c r="AS189" s="171"/>
    </row>
    <row r="190" spans="1:45">
      <c r="A190" s="131" t="s">
        <v>1224</v>
      </c>
      <c r="B190" s="156" t="s">
        <v>1337</v>
      </c>
      <c r="C190" s="156" t="s">
        <v>1320</v>
      </c>
      <c r="D190" s="156" t="s">
        <v>1537</v>
      </c>
      <c r="E190" s="156" t="s">
        <v>1643</v>
      </c>
      <c r="F190" s="156" t="s">
        <v>1858</v>
      </c>
      <c r="G190" s="157">
        <v>39416</v>
      </c>
      <c r="H190" s="158" t="s">
        <v>1931</v>
      </c>
      <c r="I190" s="158" t="s">
        <v>2093</v>
      </c>
      <c r="J190" s="156" t="s">
        <v>2148</v>
      </c>
      <c r="K190" s="156" t="s">
        <v>2163</v>
      </c>
      <c r="L190" s="156" t="s">
        <v>2167</v>
      </c>
      <c r="M190" s="156">
        <v>5</v>
      </c>
      <c r="N190" s="159">
        <v>388000</v>
      </c>
      <c r="O190" s="160">
        <v>1</v>
      </c>
      <c r="P190" s="160">
        <v>1</v>
      </c>
      <c r="Q190" s="160">
        <v>0</v>
      </c>
      <c r="R190" s="159">
        <v>1</v>
      </c>
      <c r="S190" s="157">
        <v>44718</v>
      </c>
      <c r="T190" s="114"/>
      <c r="U190" s="161">
        <v>0</v>
      </c>
      <c r="V190" s="158" t="s">
        <v>852</v>
      </c>
      <c r="W190" s="158" t="s">
        <v>627</v>
      </c>
      <c r="X190" s="158" t="s">
        <v>2183</v>
      </c>
      <c r="Y190" s="162" t="s">
        <v>2185</v>
      </c>
      <c r="Z190" s="163" t="s">
        <v>2191</v>
      </c>
      <c r="AA190" s="163">
        <v>1</v>
      </c>
      <c r="AB190" s="163">
        <v>10</v>
      </c>
      <c r="AC190" s="101">
        <v>1</v>
      </c>
      <c r="AD190" s="101">
        <v>10</v>
      </c>
      <c r="AE190" s="101" t="s">
        <v>2201</v>
      </c>
      <c r="AF190" s="102" t="str">
        <f>IF(ISERROR(VLOOKUP(AE190,小分類・セグメント!$A:$C,3,FALSE)),"",VLOOKUP(AE190,小分類・セグメント!$A:$C,3,FALSE))</f>
        <v>ECD</v>
      </c>
      <c r="AG190" s="103" t="str">
        <f>IF(ISERROR(VLOOKUP(AE190,小細分類・事業部マスタ!$E:$H,4,FALSE)),"",VLOOKUP(AE190,小細分類・事業部マスタ!$E:$H,4,FALSE))</f>
        <v>パワーデバイス事業部</v>
      </c>
      <c r="AH190" s="101" t="s">
        <v>2183</v>
      </c>
      <c r="AI190" s="104">
        <f>IF(ISERROR(VLOOKUP(AJ190,設置場所!$A:$B,2,FALSE)),"",VLOOKUP(AJ190,設置場所!$A:$B,2,FALSE))</f>
        <v>900000030</v>
      </c>
      <c r="AJ190" s="101" t="s">
        <v>2191</v>
      </c>
      <c r="AK190" s="101" t="s">
        <v>1331</v>
      </c>
      <c r="AL190" s="101" t="s">
        <v>1336</v>
      </c>
      <c r="AM190" s="101"/>
      <c r="AN190" s="101"/>
      <c r="AO190" s="101"/>
      <c r="AP190" s="101"/>
      <c r="AQ190" s="101"/>
      <c r="AR190" s="105"/>
      <c r="AS190" s="171"/>
    </row>
    <row r="191" spans="1:45">
      <c r="A191" s="131" t="s">
        <v>1224</v>
      </c>
      <c r="B191" s="156" t="s">
        <v>1337</v>
      </c>
      <c r="C191" s="156" t="s">
        <v>1320</v>
      </c>
      <c r="D191" s="156" t="s">
        <v>1538</v>
      </c>
      <c r="E191" s="156" t="s">
        <v>1644</v>
      </c>
      <c r="F191" s="156" t="s">
        <v>1859</v>
      </c>
      <c r="G191" s="157">
        <v>39430</v>
      </c>
      <c r="H191" s="158" t="s">
        <v>1918</v>
      </c>
      <c r="I191" s="158" t="s">
        <v>2094</v>
      </c>
      <c r="J191" s="156" t="s">
        <v>2139</v>
      </c>
      <c r="K191" s="156" t="s">
        <v>2154</v>
      </c>
      <c r="L191" s="156" t="s">
        <v>2167</v>
      </c>
      <c r="M191" s="156">
        <v>6</v>
      </c>
      <c r="N191" s="159">
        <v>245000</v>
      </c>
      <c r="O191" s="160">
        <v>1</v>
      </c>
      <c r="P191" s="160">
        <v>1</v>
      </c>
      <c r="Q191" s="160">
        <v>0</v>
      </c>
      <c r="R191" s="159">
        <v>1</v>
      </c>
      <c r="S191" s="157"/>
      <c r="T191" s="114"/>
      <c r="U191" s="161">
        <v>0</v>
      </c>
      <c r="V191" s="158" t="s">
        <v>852</v>
      </c>
      <c r="W191" s="158" t="s">
        <v>627</v>
      </c>
      <c r="X191" s="158"/>
      <c r="Y191" s="162" t="s">
        <v>2185</v>
      </c>
      <c r="Z191" s="163" t="s">
        <v>2191</v>
      </c>
      <c r="AA191" s="163">
        <v>1</v>
      </c>
      <c r="AB191" s="163">
        <v>1</v>
      </c>
      <c r="AC191" s="101">
        <v>1</v>
      </c>
      <c r="AD191" s="101">
        <v>1</v>
      </c>
      <c r="AE191" s="101" t="s">
        <v>2201</v>
      </c>
      <c r="AF191" s="102" t="str">
        <f>IF(ISERROR(VLOOKUP(AE191,小分類・セグメント!$A:$C,3,FALSE)),"",VLOOKUP(AE191,小分類・セグメント!$A:$C,3,FALSE))</f>
        <v>ECD</v>
      </c>
      <c r="AG191" s="103" t="str">
        <f>IF(ISERROR(VLOOKUP(AE191,小細分類・事業部マスタ!$E:$H,4,FALSE)),"",VLOOKUP(AE191,小細分類・事業部マスタ!$E:$H,4,FALSE))</f>
        <v>パワーデバイス事業部</v>
      </c>
      <c r="AH191" s="101" t="s">
        <v>2181</v>
      </c>
      <c r="AI191" s="104">
        <f>IF(ISERROR(VLOOKUP(AJ191,設置場所!$A:$B,2,FALSE)),"",VLOOKUP(AJ191,設置場所!$A:$B,2,FALSE))</f>
        <v>900000030</v>
      </c>
      <c r="AJ191" s="101" t="s">
        <v>2191</v>
      </c>
      <c r="AK191" s="101" t="s">
        <v>1331</v>
      </c>
      <c r="AL191" s="101" t="s">
        <v>1336</v>
      </c>
      <c r="AM191" s="101"/>
      <c r="AN191" s="101"/>
      <c r="AO191" s="101"/>
      <c r="AP191" s="101"/>
      <c r="AQ191" s="101"/>
      <c r="AR191" s="105"/>
      <c r="AS191" s="171"/>
    </row>
    <row r="192" spans="1:45">
      <c r="A192" s="131" t="s">
        <v>1224</v>
      </c>
      <c r="B192" s="156" t="s">
        <v>1337</v>
      </c>
      <c r="C192" s="156" t="s">
        <v>1320</v>
      </c>
      <c r="D192" s="156" t="s">
        <v>1539</v>
      </c>
      <c r="E192" s="156" t="s">
        <v>1645</v>
      </c>
      <c r="F192" s="156" t="s">
        <v>1858</v>
      </c>
      <c r="G192" s="157">
        <v>39639</v>
      </c>
      <c r="H192" s="158" t="s">
        <v>1943</v>
      </c>
      <c r="I192" s="158" t="s">
        <v>2095</v>
      </c>
      <c r="J192" s="156" t="s">
        <v>2148</v>
      </c>
      <c r="K192" s="156" t="s">
        <v>2163</v>
      </c>
      <c r="L192" s="156" t="s">
        <v>2167</v>
      </c>
      <c r="M192" s="156">
        <v>5</v>
      </c>
      <c r="N192" s="159">
        <v>388000</v>
      </c>
      <c r="O192" s="160">
        <v>1</v>
      </c>
      <c r="P192" s="160">
        <v>1</v>
      </c>
      <c r="Q192" s="160">
        <v>0</v>
      </c>
      <c r="R192" s="159">
        <v>1</v>
      </c>
      <c r="S192" s="157">
        <v>44718</v>
      </c>
      <c r="T192" s="114"/>
      <c r="U192" s="161">
        <v>0</v>
      </c>
      <c r="V192" s="158" t="s">
        <v>852</v>
      </c>
      <c r="W192" s="158" t="s">
        <v>627</v>
      </c>
      <c r="X192" s="158" t="s">
        <v>2183</v>
      </c>
      <c r="Y192" s="162" t="s">
        <v>2185</v>
      </c>
      <c r="Z192" s="163" t="s">
        <v>2191</v>
      </c>
      <c r="AA192" s="163">
        <v>1</v>
      </c>
      <c r="AB192" s="163">
        <v>10</v>
      </c>
      <c r="AC192" s="101">
        <v>1</v>
      </c>
      <c r="AD192" s="101">
        <v>10</v>
      </c>
      <c r="AE192" s="101" t="s">
        <v>2201</v>
      </c>
      <c r="AF192" s="102" t="str">
        <f>IF(ISERROR(VLOOKUP(AE192,小分類・セグメント!$A:$C,3,FALSE)),"",VLOOKUP(AE192,小分類・セグメント!$A:$C,3,FALSE))</f>
        <v>ECD</v>
      </c>
      <c r="AG192" s="103" t="str">
        <f>IF(ISERROR(VLOOKUP(AE192,小細分類・事業部マスタ!$E:$H,4,FALSE)),"",VLOOKUP(AE192,小細分類・事業部マスタ!$E:$H,4,FALSE))</f>
        <v>パワーデバイス事業部</v>
      </c>
      <c r="AH192" s="101" t="s">
        <v>2183</v>
      </c>
      <c r="AI192" s="104">
        <f>IF(ISERROR(VLOOKUP(AJ192,設置場所!$A:$B,2,FALSE)),"",VLOOKUP(AJ192,設置場所!$A:$B,2,FALSE))</f>
        <v>900000030</v>
      </c>
      <c r="AJ192" s="101" t="s">
        <v>2191</v>
      </c>
      <c r="AK192" s="101" t="s">
        <v>1331</v>
      </c>
      <c r="AL192" s="101" t="s">
        <v>1336</v>
      </c>
      <c r="AM192" s="101"/>
      <c r="AN192" s="101"/>
      <c r="AO192" s="101"/>
      <c r="AP192" s="101"/>
      <c r="AQ192" s="101"/>
      <c r="AR192" s="105"/>
      <c r="AS192" s="171"/>
    </row>
    <row r="193" spans="1:45">
      <c r="A193" s="131" t="s">
        <v>1224</v>
      </c>
      <c r="B193" s="156" t="s">
        <v>1337</v>
      </c>
      <c r="C193" s="156" t="s">
        <v>1320</v>
      </c>
      <c r="D193" s="156" t="s">
        <v>1540</v>
      </c>
      <c r="E193" s="156" t="s">
        <v>1646</v>
      </c>
      <c r="F193" s="156" t="s">
        <v>1860</v>
      </c>
      <c r="G193" s="157">
        <v>40603</v>
      </c>
      <c r="H193" s="158" t="s">
        <v>1918</v>
      </c>
      <c r="I193" s="158" t="s">
        <v>2096</v>
      </c>
      <c r="J193" s="156" t="s">
        <v>2148</v>
      </c>
      <c r="K193" s="156" t="s">
        <v>2163</v>
      </c>
      <c r="L193" s="156" t="s">
        <v>2167</v>
      </c>
      <c r="M193" s="156">
        <v>2</v>
      </c>
      <c r="N193" s="159">
        <v>310000</v>
      </c>
      <c r="O193" s="160">
        <v>1</v>
      </c>
      <c r="P193" s="160">
        <v>1</v>
      </c>
      <c r="Q193" s="160">
        <v>0</v>
      </c>
      <c r="R193" s="159">
        <v>1</v>
      </c>
      <c r="S193" s="157"/>
      <c r="T193" s="114"/>
      <c r="U193" s="161">
        <v>0</v>
      </c>
      <c r="V193" s="158" t="s">
        <v>852</v>
      </c>
      <c r="W193" s="158" t="s">
        <v>627</v>
      </c>
      <c r="X193" s="158" t="s">
        <v>2183</v>
      </c>
      <c r="Y193" s="162" t="s">
        <v>2187</v>
      </c>
      <c r="Z193" s="163" t="s">
        <v>2193</v>
      </c>
      <c r="AA193" s="163">
        <v>1</v>
      </c>
      <c r="AB193" s="163">
        <v>4</v>
      </c>
      <c r="AC193" s="101">
        <v>1</v>
      </c>
      <c r="AD193" s="101">
        <v>4</v>
      </c>
      <c r="AE193" s="101" t="s">
        <v>2201</v>
      </c>
      <c r="AF193" s="102" t="str">
        <f>IF(ISERROR(VLOOKUP(AE193,小分類・セグメント!$A:$C,3,FALSE)),"",VLOOKUP(AE193,小分類・セグメント!$A:$C,3,FALSE))</f>
        <v>ECD</v>
      </c>
      <c r="AG193" s="103" t="str">
        <f>IF(ISERROR(VLOOKUP(AE193,小細分類・事業部マスタ!$E:$H,4,FALSE)),"",VLOOKUP(AE193,小細分類・事業部マスタ!$E:$H,4,FALSE))</f>
        <v>パワーデバイス事業部</v>
      </c>
      <c r="AH193" s="101" t="s">
        <v>2183</v>
      </c>
      <c r="AI193" s="104">
        <f>IF(ISERROR(VLOOKUP(AJ193,設置場所!$A:$B,2,FALSE)),"",VLOOKUP(AJ193,設置場所!$A:$B,2,FALSE))</f>
        <v>900009001</v>
      </c>
      <c r="AJ193" s="101" t="s">
        <v>2193</v>
      </c>
      <c r="AK193" s="101" t="s">
        <v>1331</v>
      </c>
      <c r="AL193" s="101" t="s">
        <v>1336</v>
      </c>
      <c r="AM193" s="101"/>
      <c r="AN193" s="101"/>
      <c r="AO193" s="101"/>
      <c r="AP193" s="101"/>
      <c r="AQ193" s="101"/>
      <c r="AR193" s="105"/>
      <c r="AS193" s="171"/>
    </row>
    <row r="194" spans="1:45">
      <c r="A194" s="131" t="s">
        <v>1224</v>
      </c>
      <c r="B194" s="156" t="s">
        <v>1337</v>
      </c>
      <c r="C194" s="156" t="s">
        <v>1320</v>
      </c>
      <c r="D194" s="156" t="s">
        <v>1541</v>
      </c>
      <c r="E194" s="156" t="s">
        <v>1647</v>
      </c>
      <c r="F194" s="156" t="s">
        <v>1861</v>
      </c>
      <c r="G194" s="157">
        <v>40674</v>
      </c>
      <c r="H194" s="158" t="s">
        <v>1944</v>
      </c>
      <c r="I194" s="158" t="s">
        <v>2097</v>
      </c>
      <c r="J194" s="156" t="s">
        <v>2143</v>
      </c>
      <c r="K194" s="156" t="s">
        <v>2158</v>
      </c>
      <c r="L194" s="156" t="s">
        <v>2167</v>
      </c>
      <c r="M194" s="156">
        <v>5</v>
      </c>
      <c r="N194" s="159">
        <v>540000</v>
      </c>
      <c r="O194" s="160">
        <v>1</v>
      </c>
      <c r="P194" s="160">
        <v>1</v>
      </c>
      <c r="Q194" s="160">
        <v>0</v>
      </c>
      <c r="R194" s="159">
        <v>1</v>
      </c>
      <c r="S194" s="157"/>
      <c r="T194" s="114"/>
      <c r="U194" s="161">
        <v>0</v>
      </c>
      <c r="V194" s="158" t="s">
        <v>852</v>
      </c>
      <c r="W194" s="158" t="s">
        <v>627</v>
      </c>
      <c r="X194" s="158" t="s">
        <v>2183</v>
      </c>
      <c r="Y194" s="162" t="s">
        <v>2185</v>
      </c>
      <c r="Z194" s="163" t="s">
        <v>2191</v>
      </c>
      <c r="AA194" s="163">
        <v>1</v>
      </c>
      <c r="AB194" s="163">
        <v>1</v>
      </c>
      <c r="AC194" s="101">
        <v>1</v>
      </c>
      <c r="AD194" s="101">
        <v>1</v>
      </c>
      <c r="AE194" s="101" t="s">
        <v>2201</v>
      </c>
      <c r="AF194" s="102" t="str">
        <f>IF(ISERROR(VLOOKUP(AE194,小分類・セグメント!$A:$C,3,FALSE)),"",VLOOKUP(AE194,小分類・セグメント!$A:$C,3,FALSE))</f>
        <v>ECD</v>
      </c>
      <c r="AG194" s="103" t="str">
        <f>IF(ISERROR(VLOOKUP(AE194,小細分類・事業部マスタ!$E:$H,4,FALSE)),"",VLOOKUP(AE194,小細分類・事業部マスタ!$E:$H,4,FALSE))</f>
        <v>パワーデバイス事業部</v>
      </c>
      <c r="AH194" s="101" t="s">
        <v>2183</v>
      </c>
      <c r="AI194" s="104">
        <f>IF(ISERROR(VLOOKUP(AJ194,設置場所!$A:$B,2,FALSE)),"",VLOOKUP(AJ194,設置場所!$A:$B,2,FALSE))</f>
        <v>900000030</v>
      </c>
      <c r="AJ194" s="101" t="s">
        <v>2191</v>
      </c>
      <c r="AK194" s="101" t="s">
        <v>1331</v>
      </c>
      <c r="AL194" s="101" t="s">
        <v>1336</v>
      </c>
      <c r="AM194" s="101"/>
      <c r="AN194" s="101"/>
      <c r="AO194" s="101"/>
      <c r="AP194" s="101"/>
      <c r="AQ194" s="101"/>
      <c r="AR194" s="105"/>
      <c r="AS194" s="171"/>
    </row>
    <row r="195" spans="1:45">
      <c r="A195" s="131" t="s">
        <v>1224</v>
      </c>
      <c r="B195" s="156" t="s">
        <v>1337</v>
      </c>
      <c r="C195" s="156" t="s">
        <v>1320</v>
      </c>
      <c r="D195" s="156" t="s">
        <v>1542</v>
      </c>
      <c r="E195" s="156" t="s">
        <v>1648</v>
      </c>
      <c r="F195" s="156" t="s">
        <v>1862</v>
      </c>
      <c r="G195" s="157">
        <v>40680</v>
      </c>
      <c r="H195" s="158" t="s">
        <v>1945</v>
      </c>
      <c r="I195" s="158" t="s">
        <v>2098</v>
      </c>
      <c r="J195" s="156" t="s">
        <v>2143</v>
      </c>
      <c r="K195" s="156" t="s">
        <v>2158</v>
      </c>
      <c r="L195" s="156" t="s">
        <v>2167</v>
      </c>
      <c r="M195" s="156">
        <v>5</v>
      </c>
      <c r="N195" s="159">
        <v>2300000</v>
      </c>
      <c r="O195" s="160">
        <v>1</v>
      </c>
      <c r="P195" s="160">
        <v>1</v>
      </c>
      <c r="Q195" s="160">
        <v>0</v>
      </c>
      <c r="R195" s="159">
        <v>1</v>
      </c>
      <c r="S195" s="157"/>
      <c r="T195" s="114"/>
      <c r="U195" s="161">
        <v>0</v>
      </c>
      <c r="V195" s="158" t="s">
        <v>852</v>
      </c>
      <c r="W195" s="158" t="s">
        <v>627</v>
      </c>
      <c r="X195" s="158" t="s">
        <v>2177</v>
      </c>
      <c r="Y195" s="162" t="s">
        <v>2185</v>
      </c>
      <c r="Z195" s="163" t="s">
        <v>2191</v>
      </c>
      <c r="AA195" s="163">
        <v>1</v>
      </c>
      <c r="AB195" s="163">
        <v>1</v>
      </c>
      <c r="AC195" s="101">
        <v>1</v>
      </c>
      <c r="AD195" s="101">
        <v>1</v>
      </c>
      <c r="AE195" s="101" t="s">
        <v>2201</v>
      </c>
      <c r="AF195" s="102" t="str">
        <f>IF(ISERROR(VLOOKUP(AE195,小分類・セグメント!$A:$C,3,FALSE)),"",VLOOKUP(AE195,小分類・セグメント!$A:$C,3,FALSE))</f>
        <v>ECD</v>
      </c>
      <c r="AG195" s="103" t="str">
        <f>IF(ISERROR(VLOOKUP(AE195,小細分類・事業部マスタ!$E:$H,4,FALSE)),"",VLOOKUP(AE195,小細分類・事業部マスタ!$E:$H,4,FALSE))</f>
        <v>パワーデバイス事業部</v>
      </c>
      <c r="AH195" s="101" t="s">
        <v>2177</v>
      </c>
      <c r="AI195" s="104">
        <f>IF(ISERROR(VLOOKUP(AJ195,設置場所!$A:$B,2,FALSE)),"",VLOOKUP(AJ195,設置場所!$A:$B,2,FALSE))</f>
        <v>900000030</v>
      </c>
      <c r="AJ195" s="101" t="s">
        <v>2191</v>
      </c>
      <c r="AK195" s="101" t="s">
        <v>1331</v>
      </c>
      <c r="AL195" s="101" t="s">
        <v>1336</v>
      </c>
      <c r="AM195" s="101"/>
      <c r="AN195" s="101"/>
      <c r="AO195" s="101"/>
      <c r="AP195" s="101"/>
      <c r="AQ195" s="101"/>
      <c r="AR195" s="105"/>
      <c r="AS195" s="171"/>
    </row>
    <row r="196" spans="1:45">
      <c r="A196" s="131" t="s">
        <v>1224</v>
      </c>
      <c r="B196" s="156" t="s">
        <v>1337</v>
      </c>
      <c r="C196" s="156" t="s">
        <v>1320</v>
      </c>
      <c r="D196" s="156" t="s">
        <v>1543</v>
      </c>
      <c r="E196" s="156" t="s">
        <v>1649</v>
      </c>
      <c r="F196" s="156" t="s">
        <v>1863</v>
      </c>
      <c r="G196" s="157">
        <v>40848</v>
      </c>
      <c r="H196" s="158" t="s">
        <v>1918</v>
      </c>
      <c r="I196" s="158" t="s">
        <v>2099</v>
      </c>
      <c r="J196" s="156" t="s">
        <v>2148</v>
      </c>
      <c r="K196" s="156" t="s">
        <v>2163</v>
      </c>
      <c r="L196" s="156" t="s">
        <v>2167</v>
      </c>
      <c r="M196" s="156">
        <v>2</v>
      </c>
      <c r="N196" s="159">
        <v>295000</v>
      </c>
      <c r="O196" s="160">
        <v>1</v>
      </c>
      <c r="P196" s="160">
        <v>1</v>
      </c>
      <c r="Q196" s="160">
        <v>0</v>
      </c>
      <c r="R196" s="159">
        <v>1</v>
      </c>
      <c r="S196" s="157"/>
      <c r="T196" s="114"/>
      <c r="U196" s="161">
        <v>0</v>
      </c>
      <c r="V196" s="158" t="s">
        <v>852</v>
      </c>
      <c r="W196" s="158" t="s">
        <v>627</v>
      </c>
      <c r="X196" s="158" t="s">
        <v>2183</v>
      </c>
      <c r="Y196" s="162" t="s">
        <v>2187</v>
      </c>
      <c r="Z196" s="163" t="s">
        <v>2193</v>
      </c>
      <c r="AA196" s="163">
        <v>1</v>
      </c>
      <c r="AB196" s="163">
        <v>4</v>
      </c>
      <c r="AC196" s="101">
        <v>1</v>
      </c>
      <c r="AD196" s="101">
        <v>4</v>
      </c>
      <c r="AE196" s="101" t="s">
        <v>2201</v>
      </c>
      <c r="AF196" s="102" t="str">
        <f>IF(ISERROR(VLOOKUP(AE196,小分類・セグメント!$A:$C,3,FALSE)),"",VLOOKUP(AE196,小分類・セグメント!$A:$C,3,FALSE))</f>
        <v>ECD</v>
      </c>
      <c r="AG196" s="103" t="str">
        <f>IF(ISERROR(VLOOKUP(AE196,小細分類・事業部マスタ!$E:$H,4,FALSE)),"",VLOOKUP(AE196,小細分類・事業部マスタ!$E:$H,4,FALSE))</f>
        <v>パワーデバイス事業部</v>
      </c>
      <c r="AH196" s="101" t="s">
        <v>2183</v>
      </c>
      <c r="AI196" s="104">
        <f>IF(ISERROR(VLOOKUP(AJ196,設置場所!$A:$B,2,FALSE)),"",VLOOKUP(AJ196,設置場所!$A:$B,2,FALSE))</f>
        <v>900009001</v>
      </c>
      <c r="AJ196" s="101" t="s">
        <v>2193</v>
      </c>
      <c r="AK196" s="101" t="s">
        <v>1331</v>
      </c>
      <c r="AL196" s="101" t="s">
        <v>1336</v>
      </c>
      <c r="AM196" s="101"/>
      <c r="AN196" s="101"/>
      <c r="AO196" s="101"/>
      <c r="AP196" s="101"/>
      <c r="AQ196" s="101"/>
      <c r="AR196" s="105"/>
      <c r="AS196" s="171"/>
    </row>
    <row r="197" spans="1:45">
      <c r="A197" s="131" t="s">
        <v>1224</v>
      </c>
      <c r="B197" s="156" t="s">
        <v>1337</v>
      </c>
      <c r="C197" s="156" t="s">
        <v>1320</v>
      </c>
      <c r="D197" s="156" t="s">
        <v>1544</v>
      </c>
      <c r="E197" s="156" t="s">
        <v>1650</v>
      </c>
      <c r="F197" s="156" t="s">
        <v>1864</v>
      </c>
      <c r="G197" s="157">
        <v>40868</v>
      </c>
      <c r="H197" s="158" t="s">
        <v>1918</v>
      </c>
      <c r="I197" s="158" t="s">
        <v>2100</v>
      </c>
      <c r="J197" s="156" t="s">
        <v>2139</v>
      </c>
      <c r="K197" s="156" t="s">
        <v>2154</v>
      </c>
      <c r="L197" s="156" t="s">
        <v>2167</v>
      </c>
      <c r="M197" s="156">
        <v>5</v>
      </c>
      <c r="N197" s="159">
        <v>484600</v>
      </c>
      <c r="O197" s="160">
        <v>1</v>
      </c>
      <c r="P197" s="160">
        <v>1</v>
      </c>
      <c r="Q197" s="160">
        <v>0</v>
      </c>
      <c r="R197" s="159">
        <v>1</v>
      </c>
      <c r="S197" s="157"/>
      <c r="T197" s="114"/>
      <c r="U197" s="161">
        <v>0</v>
      </c>
      <c r="V197" s="158" t="s">
        <v>852</v>
      </c>
      <c r="W197" s="158" t="s">
        <v>627</v>
      </c>
      <c r="X197" s="158"/>
      <c r="Y197" s="162" t="s">
        <v>2185</v>
      </c>
      <c r="Z197" s="163" t="s">
        <v>2191</v>
      </c>
      <c r="AA197" s="163">
        <v>1</v>
      </c>
      <c r="AB197" s="163">
        <v>1</v>
      </c>
      <c r="AC197" s="101">
        <v>1</v>
      </c>
      <c r="AD197" s="101">
        <v>1</v>
      </c>
      <c r="AE197" s="101" t="s">
        <v>2201</v>
      </c>
      <c r="AF197" s="102" t="str">
        <f>IF(ISERROR(VLOOKUP(AE197,小分類・セグメント!$A:$C,3,FALSE)),"",VLOOKUP(AE197,小分類・セグメント!$A:$C,3,FALSE))</f>
        <v>ECD</v>
      </c>
      <c r="AG197" s="103" t="str">
        <f>IF(ISERROR(VLOOKUP(AE197,小細分類・事業部マスタ!$E:$H,4,FALSE)),"",VLOOKUP(AE197,小細分類・事業部マスタ!$E:$H,4,FALSE))</f>
        <v>パワーデバイス事業部</v>
      </c>
      <c r="AH197" s="101" t="s">
        <v>2181</v>
      </c>
      <c r="AI197" s="104">
        <f>IF(ISERROR(VLOOKUP(AJ197,設置場所!$A:$B,2,FALSE)),"",VLOOKUP(AJ197,設置場所!$A:$B,2,FALSE))</f>
        <v>900000030</v>
      </c>
      <c r="AJ197" s="101" t="s">
        <v>2191</v>
      </c>
      <c r="AK197" s="101" t="s">
        <v>1331</v>
      </c>
      <c r="AL197" s="101" t="s">
        <v>1336</v>
      </c>
      <c r="AM197" s="101"/>
      <c r="AN197" s="101"/>
      <c r="AO197" s="101"/>
      <c r="AP197" s="101"/>
      <c r="AQ197" s="101"/>
      <c r="AR197" s="105"/>
      <c r="AS197" s="171"/>
    </row>
    <row r="198" spans="1:45">
      <c r="A198" s="131" t="s">
        <v>1224</v>
      </c>
      <c r="B198" s="156" t="s">
        <v>1337</v>
      </c>
      <c r="C198" s="156" t="s">
        <v>1320</v>
      </c>
      <c r="D198" s="156" t="s">
        <v>1545</v>
      </c>
      <c r="E198" s="156" t="s">
        <v>1651</v>
      </c>
      <c r="F198" s="156" t="s">
        <v>1865</v>
      </c>
      <c r="G198" s="157">
        <v>40928</v>
      </c>
      <c r="H198" s="158" t="s">
        <v>1918</v>
      </c>
      <c r="I198" s="158" t="s">
        <v>2101</v>
      </c>
      <c r="J198" s="156" t="s">
        <v>2141</v>
      </c>
      <c r="K198" s="156" t="s">
        <v>2156</v>
      </c>
      <c r="L198" s="156" t="s">
        <v>2167</v>
      </c>
      <c r="M198" s="156">
        <v>5</v>
      </c>
      <c r="N198" s="159">
        <v>1816400</v>
      </c>
      <c r="O198" s="160">
        <v>1</v>
      </c>
      <c r="P198" s="160">
        <v>1</v>
      </c>
      <c r="Q198" s="160">
        <v>0</v>
      </c>
      <c r="R198" s="159">
        <v>1</v>
      </c>
      <c r="S198" s="157"/>
      <c r="T198" s="114"/>
      <c r="U198" s="161">
        <v>0</v>
      </c>
      <c r="V198" s="158" t="s">
        <v>852</v>
      </c>
      <c r="W198" s="158" t="s">
        <v>627</v>
      </c>
      <c r="X198" s="158"/>
      <c r="Y198" s="162" t="s">
        <v>2185</v>
      </c>
      <c r="Z198" s="163" t="s">
        <v>2191</v>
      </c>
      <c r="AA198" s="163">
        <v>1</v>
      </c>
      <c r="AB198" s="163">
        <v>1</v>
      </c>
      <c r="AC198" s="101">
        <v>1</v>
      </c>
      <c r="AD198" s="101">
        <v>1</v>
      </c>
      <c r="AE198" s="101" t="s">
        <v>2201</v>
      </c>
      <c r="AF198" s="102" t="str">
        <f>IF(ISERROR(VLOOKUP(AE198,小分類・セグメント!$A:$C,3,FALSE)),"",VLOOKUP(AE198,小分類・セグメント!$A:$C,3,FALSE))</f>
        <v>ECD</v>
      </c>
      <c r="AG198" s="103" t="str">
        <f>IF(ISERROR(VLOOKUP(AE198,小細分類・事業部マスタ!$E:$H,4,FALSE)),"",VLOOKUP(AE198,小細分類・事業部マスタ!$E:$H,4,FALSE))</f>
        <v>パワーデバイス事業部</v>
      </c>
      <c r="AH198" s="101" t="s">
        <v>2205</v>
      </c>
      <c r="AI198" s="104">
        <f>IF(ISERROR(VLOOKUP(AJ198,設置場所!$A:$B,2,FALSE)),"",VLOOKUP(AJ198,設置場所!$A:$B,2,FALSE))</f>
        <v>900000030</v>
      </c>
      <c r="AJ198" s="101" t="s">
        <v>2191</v>
      </c>
      <c r="AK198" s="101" t="s">
        <v>1331</v>
      </c>
      <c r="AL198" s="101" t="s">
        <v>1336</v>
      </c>
      <c r="AM198" s="101"/>
      <c r="AN198" s="101"/>
      <c r="AO198" s="101"/>
      <c r="AP198" s="101"/>
      <c r="AQ198" s="101"/>
      <c r="AR198" s="105"/>
      <c r="AS198" s="171"/>
    </row>
    <row r="199" spans="1:45">
      <c r="A199" s="131" t="s">
        <v>1224</v>
      </c>
      <c r="B199" s="156" t="s">
        <v>1337</v>
      </c>
      <c r="C199" s="156" t="s">
        <v>1320</v>
      </c>
      <c r="D199" s="156" t="s">
        <v>1546</v>
      </c>
      <c r="E199" s="156" t="s">
        <v>1652</v>
      </c>
      <c r="F199" s="156" t="s">
        <v>1865</v>
      </c>
      <c r="G199" s="157">
        <v>40928</v>
      </c>
      <c r="H199" s="158" t="s">
        <v>1918</v>
      </c>
      <c r="I199" s="158" t="s">
        <v>2101</v>
      </c>
      <c r="J199" s="156" t="s">
        <v>2141</v>
      </c>
      <c r="K199" s="156" t="s">
        <v>2156</v>
      </c>
      <c r="L199" s="156" t="s">
        <v>2167</v>
      </c>
      <c r="M199" s="156">
        <v>5</v>
      </c>
      <c r="N199" s="159">
        <v>1816400</v>
      </c>
      <c r="O199" s="160">
        <v>1</v>
      </c>
      <c r="P199" s="160">
        <v>1</v>
      </c>
      <c r="Q199" s="160">
        <v>0</v>
      </c>
      <c r="R199" s="159">
        <v>1</v>
      </c>
      <c r="S199" s="157"/>
      <c r="T199" s="114"/>
      <c r="U199" s="161">
        <v>0</v>
      </c>
      <c r="V199" s="158" t="s">
        <v>852</v>
      </c>
      <c r="W199" s="158" t="s">
        <v>627</v>
      </c>
      <c r="X199" s="158"/>
      <c r="Y199" s="162" t="s">
        <v>2185</v>
      </c>
      <c r="Z199" s="163" t="s">
        <v>2191</v>
      </c>
      <c r="AA199" s="163">
        <v>1</v>
      </c>
      <c r="AB199" s="163">
        <v>1</v>
      </c>
      <c r="AC199" s="101">
        <v>1</v>
      </c>
      <c r="AD199" s="101">
        <v>1</v>
      </c>
      <c r="AE199" s="101" t="s">
        <v>2201</v>
      </c>
      <c r="AF199" s="102" t="str">
        <f>IF(ISERROR(VLOOKUP(AE199,小分類・セグメント!$A:$C,3,FALSE)),"",VLOOKUP(AE199,小分類・セグメント!$A:$C,3,FALSE))</f>
        <v>ECD</v>
      </c>
      <c r="AG199" s="103" t="str">
        <f>IF(ISERROR(VLOOKUP(AE199,小細分類・事業部マスタ!$E:$H,4,FALSE)),"",VLOOKUP(AE199,小細分類・事業部マスタ!$E:$H,4,FALSE))</f>
        <v>パワーデバイス事業部</v>
      </c>
      <c r="AH199" s="101" t="s">
        <v>2205</v>
      </c>
      <c r="AI199" s="104">
        <f>IF(ISERROR(VLOOKUP(AJ199,設置場所!$A:$B,2,FALSE)),"",VLOOKUP(AJ199,設置場所!$A:$B,2,FALSE))</f>
        <v>900000030</v>
      </c>
      <c r="AJ199" s="101" t="s">
        <v>2191</v>
      </c>
      <c r="AK199" s="101" t="s">
        <v>1331</v>
      </c>
      <c r="AL199" s="101" t="s">
        <v>1336</v>
      </c>
      <c r="AM199" s="101"/>
      <c r="AN199" s="101"/>
      <c r="AO199" s="101"/>
      <c r="AP199" s="101"/>
      <c r="AQ199" s="101"/>
      <c r="AR199" s="105"/>
      <c r="AS199" s="171"/>
    </row>
    <row r="200" spans="1:45">
      <c r="A200" s="131" t="s">
        <v>1224</v>
      </c>
      <c r="B200" s="156" t="s">
        <v>1337</v>
      </c>
      <c r="C200" s="156" t="s">
        <v>1320</v>
      </c>
      <c r="D200" s="156" t="s">
        <v>1547</v>
      </c>
      <c r="E200" s="156" t="s">
        <v>1653</v>
      </c>
      <c r="F200" s="156" t="s">
        <v>1865</v>
      </c>
      <c r="G200" s="157">
        <v>40928</v>
      </c>
      <c r="H200" s="158" t="s">
        <v>1918</v>
      </c>
      <c r="I200" s="158" t="s">
        <v>2101</v>
      </c>
      <c r="J200" s="156" t="s">
        <v>2141</v>
      </c>
      <c r="K200" s="156" t="s">
        <v>2156</v>
      </c>
      <c r="L200" s="156" t="s">
        <v>2167</v>
      </c>
      <c r="M200" s="156">
        <v>5</v>
      </c>
      <c r="N200" s="159">
        <v>1816400</v>
      </c>
      <c r="O200" s="160">
        <v>1</v>
      </c>
      <c r="P200" s="160">
        <v>1</v>
      </c>
      <c r="Q200" s="160">
        <v>0</v>
      </c>
      <c r="R200" s="159">
        <v>1</v>
      </c>
      <c r="S200" s="157"/>
      <c r="T200" s="114"/>
      <c r="U200" s="161">
        <v>0</v>
      </c>
      <c r="V200" s="158" t="s">
        <v>852</v>
      </c>
      <c r="W200" s="158" t="s">
        <v>627</v>
      </c>
      <c r="X200" s="158"/>
      <c r="Y200" s="162" t="s">
        <v>2185</v>
      </c>
      <c r="Z200" s="163" t="s">
        <v>2191</v>
      </c>
      <c r="AA200" s="163">
        <v>1</v>
      </c>
      <c r="AB200" s="163">
        <v>1</v>
      </c>
      <c r="AC200" s="101">
        <v>1</v>
      </c>
      <c r="AD200" s="101">
        <v>1</v>
      </c>
      <c r="AE200" s="101" t="s">
        <v>2201</v>
      </c>
      <c r="AF200" s="102" t="str">
        <f>IF(ISERROR(VLOOKUP(AE200,小分類・セグメント!$A:$C,3,FALSE)),"",VLOOKUP(AE200,小分類・セグメント!$A:$C,3,FALSE))</f>
        <v>ECD</v>
      </c>
      <c r="AG200" s="103" t="str">
        <f>IF(ISERROR(VLOOKUP(AE200,小細分類・事業部マスタ!$E:$H,4,FALSE)),"",VLOOKUP(AE200,小細分類・事業部マスタ!$E:$H,4,FALSE))</f>
        <v>パワーデバイス事業部</v>
      </c>
      <c r="AH200" s="101" t="s">
        <v>2205</v>
      </c>
      <c r="AI200" s="104">
        <f>IF(ISERROR(VLOOKUP(AJ200,設置場所!$A:$B,2,FALSE)),"",VLOOKUP(AJ200,設置場所!$A:$B,2,FALSE))</f>
        <v>900000030</v>
      </c>
      <c r="AJ200" s="101" t="s">
        <v>2191</v>
      </c>
      <c r="AK200" s="101" t="s">
        <v>1331</v>
      </c>
      <c r="AL200" s="101" t="s">
        <v>1336</v>
      </c>
      <c r="AM200" s="101"/>
      <c r="AN200" s="101"/>
      <c r="AO200" s="101"/>
      <c r="AP200" s="101"/>
      <c r="AQ200" s="101"/>
      <c r="AR200" s="105"/>
      <c r="AS200" s="171"/>
    </row>
    <row r="201" spans="1:45">
      <c r="A201" s="131" t="s">
        <v>1224</v>
      </c>
      <c r="B201" s="156" t="s">
        <v>1337</v>
      </c>
      <c r="C201" s="156" t="s">
        <v>1320</v>
      </c>
      <c r="D201" s="156" t="s">
        <v>1548</v>
      </c>
      <c r="E201" s="156" t="s">
        <v>1654</v>
      </c>
      <c r="F201" s="156" t="s">
        <v>1865</v>
      </c>
      <c r="G201" s="157">
        <v>40928</v>
      </c>
      <c r="H201" s="158" t="s">
        <v>1918</v>
      </c>
      <c r="I201" s="158" t="s">
        <v>2101</v>
      </c>
      <c r="J201" s="156" t="s">
        <v>2141</v>
      </c>
      <c r="K201" s="156" t="s">
        <v>2156</v>
      </c>
      <c r="L201" s="156" t="s">
        <v>2167</v>
      </c>
      <c r="M201" s="156">
        <v>5</v>
      </c>
      <c r="N201" s="159">
        <v>1816400</v>
      </c>
      <c r="O201" s="160">
        <v>1</v>
      </c>
      <c r="P201" s="160">
        <v>1</v>
      </c>
      <c r="Q201" s="160">
        <v>0</v>
      </c>
      <c r="R201" s="159">
        <v>1</v>
      </c>
      <c r="S201" s="157"/>
      <c r="T201" s="114"/>
      <c r="U201" s="161">
        <v>0</v>
      </c>
      <c r="V201" s="158" t="s">
        <v>852</v>
      </c>
      <c r="W201" s="158" t="s">
        <v>627</v>
      </c>
      <c r="X201" s="158"/>
      <c r="Y201" s="162" t="s">
        <v>2185</v>
      </c>
      <c r="Z201" s="163" t="s">
        <v>2191</v>
      </c>
      <c r="AA201" s="163">
        <v>1</v>
      </c>
      <c r="AB201" s="163">
        <v>1</v>
      </c>
      <c r="AC201" s="101">
        <v>1</v>
      </c>
      <c r="AD201" s="101">
        <v>1</v>
      </c>
      <c r="AE201" s="101" t="s">
        <v>2201</v>
      </c>
      <c r="AF201" s="102" t="str">
        <f>IF(ISERROR(VLOOKUP(AE201,小分類・セグメント!$A:$C,3,FALSE)),"",VLOOKUP(AE201,小分類・セグメント!$A:$C,3,FALSE))</f>
        <v>ECD</v>
      </c>
      <c r="AG201" s="103" t="str">
        <f>IF(ISERROR(VLOOKUP(AE201,小細分類・事業部マスタ!$E:$H,4,FALSE)),"",VLOOKUP(AE201,小細分類・事業部マスタ!$E:$H,4,FALSE))</f>
        <v>パワーデバイス事業部</v>
      </c>
      <c r="AH201" s="101" t="s">
        <v>2205</v>
      </c>
      <c r="AI201" s="104">
        <f>IF(ISERROR(VLOOKUP(AJ201,設置場所!$A:$B,2,FALSE)),"",VLOOKUP(AJ201,設置場所!$A:$B,2,FALSE))</f>
        <v>900000030</v>
      </c>
      <c r="AJ201" s="101" t="s">
        <v>2191</v>
      </c>
      <c r="AK201" s="101" t="s">
        <v>1331</v>
      </c>
      <c r="AL201" s="101" t="s">
        <v>1336</v>
      </c>
      <c r="AM201" s="101"/>
      <c r="AN201" s="101"/>
      <c r="AO201" s="101"/>
      <c r="AP201" s="101"/>
      <c r="AQ201" s="101"/>
      <c r="AR201" s="105"/>
      <c r="AS201" s="171"/>
    </row>
    <row r="202" spans="1:45">
      <c r="A202" s="131" t="s">
        <v>1224</v>
      </c>
      <c r="B202" s="156" t="s">
        <v>1337</v>
      </c>
      <c r="C202" s="156" t="s">
        <v>1320</v>
      </c>
      <c r="D202" s="156" t="s">
        <v>1549</v>
      </c>
      <c r="E202" s="156" t="s">
        <v>1655</v>
      </c>
      <c r="F202" s="156" t="s">
        <v>1865</v>
      </c>
      <c r="G202" s="157">
        <v>40928</v>
      </c>
      <c r="H202" s="158" t="s">
        <v>1918</v>
      </c>
      <c r="I202" s="158" t="s">
        <v>2101</v>
      </c>
      <c r="J202" s="156" t="s">
        <v>2141</v>
      </c>
      <c r="K202" s="156" t="s">
        <v>2156</v>
      </c>
      <c r="L202" s="156" t="s">
        <v>2167</v>
      </c>
      <c r="M202" s="156">
        <v>5</v>
      </c>
      <c r="N202" s="159">
        <v>1816100</v>
      </c>
      <c r="O202" s="160">
        <v>1</v>
      </c>
      <c r="P202" s="160">
        <v>1</v>
      </c>
      <c r="Q202" s="160">
        <v>0</v>
      </c>
      <c r="R202" s="159">
        <v>1</v>
      </c>
      <c r="S202" s="157"/>
      <c r="T202" s="114"/>
      <c r="U202" s="161">
        <v>0</v>
      </c>
      <c r="V202" s="158" t="s">
        <v>852</v>
      </c>
      <c r="W202" s="158" t="s">
        <v>627</v>
      </c>
      <c r="X202" s="158"/>
      <c r="Y202" s="162" t="s">
        <v>2185</v>
      </c>
      <c r="Z202" s="163" t="s">
        <v>2191</v>
      </c>
      <c r="AA202" s="163">
        <v>1</v>
      </c>
      <c r="AB202" s="163">
        <v>1</v>
      </c>
      <c r="AC202" s="101">
        <v>1</v>
      </c>
      <c r="AD202" s="101">
        <v>1</v>
      </c>
      <c r="AE202" s="101" t="s">
        <v>2201</v>
      </c>
      <c r="AF202" s="102" t="str">
        <f>IF(ISERROR(VLOOKUP(AE202,小分類・セグメント!$A:$C,3,FALSE)),"",VLOOKUP(AE202,小分類・セグメント!$A:$C,3,FALSE))</f>
        <v>ECD</v>
      </c>
      <c r="AG202" s="103" t="str">
        <f>IF(ISERROR(VLOOKUP(AE202,小細分類・事業部マスタ!$E:$H,4,FALSE)),"",VLOOKUP(AE202,小細分類・事業部マスタ!$E:$H,4,FALSE))</f>
        <v>パワーデバイス事業部</v>
      </c>
      <c r="AH202" s="101" t="s">
        <v>2205</v>
      </c>
      <c r="AI202" s="104">
        <f>IF(ISERROR(VLOOKUP(AJ202,設置場所!$A:$B,2,FALSE)),"",VLOOKUP(AJ202,設置場所!$A:$B,2,FALSE))</f>
        <v>900000030</v>
      </c>
      <c r="AJ202" s="101" t="s">
        <v>2191</v>
      </c>
      <c r="AK202" s="101" t="s">
        <v>1331</v>
      </c>
      <c r="AL202" s="101" t="s">
        <v>1336</v>
      </c>
      <c r="AM202" s="101"/>
      <c r="AN202" s="101"/>
      <c r="AO202" s="101"/>
      <c r="AP202" s="101"/>
      <c r="AQ202" s="101"/>
      <c r="AR202" s="105"/>
      <c r="AS202" s="171"/>
    </row>
    <row r="203" spans="1:45">
      <c r="A203" s="131" t="s">
        <v>1224</v>
      </c>
      <c r="B203" s="156" t="s">
        <v>1337</v>
      </c>
      <c r="C203" s="156" t="s">
        <v>1320</v>
      </c>
      <c r="D203" s="156" t="s">
        <v>1550</v>
      </c>
      <c r="E203" s="156" t="s">
        <v>1656</v>
      </c>
      <c r="F203" s="156" t="s">
        <v>1866</v>
      </c>
      <c r="G203" s="157">
        <v>40928</v>
      </c>
      <c r="H203" s="158" t="s">
        <v>1918</v>
      </c>
      <c r="I203" s="158" t="s">
        <v>2101</v>
      </c>
      <c r="J203" s="156" t="s">
        <v>2141</v>
      </c>
      <c r="K203" s="156" t="s">
        <v>2156</v>
      </c>
      <c r="L203" s="156" t="s">
        <v>2167</v>
      </c>
      <c r="M203" s="156">
        <v>15</v>
      </c>
      <c r="N203" s="159">
        <v>218300</v>
      </c>
      <c r="O203" s="160">
        <v>1</v>
      </c>
      <c r="P203" s="160">
        <v>24240</v>
      </c>
      <c r="Q203" s="160">
        <v>673</v>
      </c>
      <c r="R203" s="159">
        <v>22221</v>
      </c>
      <c r="S203" s="157"/>
      <c r="T203" s="114"/>
      <c r="U203" s="161">
        <v>0</v>
      </c>
      <c r="V203" s="158" t="s">
        <v>852</v>
      </c>
      <c r="W203" s="158" t="s">
        <v>627</v>
      </c>
      <c r="X203" s="158"/>
      <c r="Y203" s="162" t="s">
        <v>2185</v>
      </c>
      <c r="Z203" s="163" t="s">
        <v>2191</v>
      </c>
      <c r="AA203" s="163">
        <v>1</v>
      </c>
      <c r="AB203" s="163">
        <v>1</v>
      </c>
      <c r="AC203" s="101">
        <v>1</v>
      </c>
      <c r="AD203" s="101">
        <v>1</v>
      </c>
      <c r="AE203" s="101" t="s">
        <v>2201</v>
      </c>
      <c r="AF203" s="102" t="str">
        <f>IF(ISERROR(VLOOKUP(AE203,小分類・セグメント!$A:$C,3,FALSE)),"",VLOOKUP(AE203,小分類・セグメント!$A:$C,3,FALSE))</f>
        <v>ECD</v>
      </c>
      <c r="AG203" s="103" t="str">
        <f>IF(ISERROR(VLOOKUP(AE203,小細分類・事業部マスタ!$E:$H,4,FALSE)),"",VLOOKUP(AE203,小細分類・事業部マスタ!$E:$H,4,FALSE))</f>
        <v>パワーデバイス事業部</v>
      </c>
      <c r="AH203" s="101" t="s">
        <v>2205</v>
      </c>
      <c r="AI203" s="104">
        <f>IF(ISERROR(VLOOKUP(AJ203,設置場所!$A:$B,2,FALSE)),"",VLOOKUP(AJ203,設置場所!$A:$B,2,FALSE))</f>
        <v>900000030</v>
      </c>
      <c r="AJ203" s="101" t="s">
        <v>2191</v>
      </c>
      <c r="AK203" s="101" t="s">
        <v>1331</v>
      </c>
      <c r="AL203" s="101" t="s">
        <v>1336</v>
      </c>
      <c r="AM203" s="101"/>
      <c r="AN203" s="101"/>
      <c r="AO203" s="101"/>
      <c r="AP203" s="101"/>
      <c r="AQ203" s="101"/>
      <c r="AR203" s="105"/>
      <c r="AS203" s="171"/>
    </row>
    <row r="204" spans="1:45">
      <c r="A204" s="131" t="s">
        <v>1224</v>
      </c>
      <c r="B204" s="156" t="s">
        <v>1337</v>
      </c>
      <c r="C204" s="156" t="s">
        <v>1320</v>
      </c>
      <c r="D204" s="156" t="s">
        <v>1551</v>
      </c>
      <c r="E204" s="156" t="s">
        <v>1657</v>
      </c>
      <c r="F204" s="156" t="s">
        <v>1867</v>
      </c>
      <c r="G204" s="157">
        <v>41153</v>
      </c>
      <c r="H204" s="158" t="s">
        <v>1918</v>
      </c>
      <c r="I204" s="158" t="s">
        <v>2099</v>
      </c>
      <c r="J204" s="156" t="s">
        <v>2148</v>
      </c>
      <c r="K204" s="156" t="s">
        <v>2163</v>
      </c>
      <c r="L204" s="156" t="s">
        <v>2168</v>
      </c>
      <c r="M204" s="156">
        <v>2</v>
      </c>
      <c r="N204" s="159">
        <v>300000</v>
      </c>
      <c r="O204" s="160">
        <v>1</v>
      </c>
      <c r="P204" s="160">
        <v>1</v>
      </c>
      <c r="Q204" s="160">
        <v>0</v>
      </c>
      <c r="R204" s="159">
        <v>1</v>
      </c>
      <c r="S204" s="157"/>
      <c r="T204" s="114"/>
      <c r="U204" s="161">
        <v>0</v>
      </c>
      <c r="V204" s="158" t="s">
        <v>852</v>
      </c>
      <c r="W204" s="158" t="s">
        <v>627</v>
      </c>
      <c r="X204" s="158" t="s">
        <v>2183</v>
      </c>
      <c r="Y204" s="162" t="s">
        <v>2187</v>
      </c>
      <c r="Z204" s="163" t="s">
        <v>2193</v>
      </c>
      <c r="AA204" s="163">
        <v>1</v>
      </c>
      <c r="AB204" s="163">
        <v>4</v>
      </c>
      <c r="AC204" s="101">
        <v>1</v>
      </c>
      <c r="AD204" s="101">
        <v>4</v>
      </c>
      <c r="AE204" s="101" t="s">
        <v>2201</v>
      </c>
      <c r="AF204" s="102" t="str">
        <f>IF(ISERROR(VLOOKUP(AE204,小分類・セグメント!$A:$C,3,FALSE)),"",VLOOKUP(AE204,小分類・セグメント!$A:$C,3,FALSE))</f>
        <v>ECD</v>
      </c>
      <c r="AG204" s="103" t="str">
        <f>IF(ISERROR(VLOOKUP(AE204,小細分類・事業部マスタ!$E:$H,4,FALSE)),"",VLOOKUP(AE204,小細分類・事業部マスタ!$E:$H,4,FALSE))</f>
        <v>パワーデバイス事業部</v>
      </c>
      <c r="AH204" s="101" t="s">
        <v>2183</v>
      </c>
      <c r="AI204" s="104">
        <f>IF(ISERROR(VLOOKUP(AJ204,設置場所!$A:$B,2,FALSE)),"",VLOOKUP(AJ204,設置場所!$A:$B,2,FALSE))</f>
        <v>900009001</v>
      </c>
      <c r="AJ204" s="101" t="s">
        <v>2193</v>
      </c>
      <c r="AK204" s="101" t="s">
        <v>1331</v>
      </c>
      <c r="AL204" s="101" t="s">
        <v>1336</v>
      </c>
      <c r="AM204" s="101"/>
      <c r="AN204" s="101"/>
      <c r="AO204" s="101"/>
      <c r="AP204" s="101"/>
      <c r="AQ204" s="101"/>
      <c r="AR204" s="105"/>
      <c r="AS204" s="171"/>
    </row>
    <row r="205" spans="1:45">
      <c r="A205" s="131" t="s">
        <v>1224</v>
      </c>
      <c r="B205" s="156" t="s">
        <v>1337</v>
      </c>
      <c r="C205" s="156" t="s">
        <v>1320</v>
      </c>
      <c r="D205" s="156" t="s">
        <v>1552</v>
      </c>
      <c r="E205" s="156" t="s">
        <v>1658</v>
      </c>
      <c r="F205" s="156" t="s">
        <v>1868</v>
      </c>
      <c r="G205" s="157">
        <v>41792</v>
      </c>
      <c r="H205" s="158" t="s">
        <v>1918</v>
      </c>
      <c r="I205" s="158" t="s">
        <v>2102</v>
      </c>
      <c r="J205" s="156" t="s">
        <v>2141</v>
      </c>
      <c r="K205" s="156" t="s">
        <v>2156</v>
      </c>
      <c r="L205" s="156" t="s">
        <v>2168</v>
      </c>
      <c r="M205" s="156">
        <v>5</v>
      </c>
      <c r="N205" s="159">
        <v>8400000</v>
      </c>
      <c r="O205" s="160">
        <v>1</v>
      </c>
      <c r="P205" s="160">
        <v>1</v>
      </c>
      <c r="Q205" s="160">
        <v>0</v>
      </c>
      <c r="R205" s="159">
        <v>1</v>
      </c>
      <c r="S205" s="157"/>
      <c r="T205" s="114"/>
      <c r="U205" s="161">
        <v>0</v>
      </c>
      <c r="V205" s="158" t="s">
        <v>852</v>
      </c>
      <c r="W205" s="158" t="s">
        <v>627</v>
      </c>
      <c r="X205" s="158"/>
      <c r="Y205" s="162" t="s">
        <v>2185</v>
      </c>
      <c r="Z205" s="163" t="s">
        <v>2191</v>
      </c>
      <c r="AA205" s="163">
        <v>1</v>
      </c>
      <c r="AB205" s="163">
        <v>1</v>
      </c>
      <c r="AC205" s="101">
        <v>1</v>
      </c>
      <c r="AD205" s="101">
        <v>1</v>
      </c>
      <c r="AE205" s="101" t="s">
        <v>2201</v>
      </c>
      <c r="AF205" s="102" t="str">
        <f>IF(ISERROR(VLOOKUP(AE205,小分類・セグメント!$A:$C,3,FALSE)),"",VLOOKUP(AE205,小分類・セグメント!$A:$C,3,FALSE))</f>
        <v>ECD</v>
      </c>
      <c r="AG205" s="103" t="str">
        <f>IF(ISERROR(VLOOKUP(AE205,小細分類・事業部マスタ!$E:$H,4,FALSE)),"",VLOOKUP(AE205,小細分類・事業部マスタ!$E:$H,4,FALSE))</f>
        <v>パワーデバイス事業部</v>
      </c>
      <c r="AH205" s="101" t="s">
        <v>2205</v>
      </c>
      <c r="AI205" s="104">
        <f>IF(ISERROR(VLOOKUP(AJ205,設置場所!$A:$B,2,FALSE)),"",VLOOKUP(AJ205,設置場所!$A:$B,2,FALSE))</f>
        <v>900000030</v>
      </c>
      <c r="AJ205" s="101" t="s">
        <v>2191</v>
      </c>
      <c r="AK205" s="101" t="s">
        <v>1331</v>
      </c>
      <c r="AL205" s="101" t="s">
        <v>1336</v>
      </c>
      <c r="AM205" s="101"/>
      <c r="AN205" s="101"/>
      <c r="AO205" s="101"/>
      <c r="AP205" s="101"/>
      <c r="AQ205" s="101"/>
      <c r="AR205" s="105"/>
      <c r="AS205" s="171"/>
    </row>
    <row r="206" spans="1:45">
      <c r="A206" s="131" t="s">
        <v>1224</v>
      </c>
      <c r="B206" s="156" t="s">
        <v>1337</v>
      </c>
      <c r="C206" s="156" t="s">
        <v>1320</v>
      </c>
      <c r="D206" s="156" t="s">
        <v>1553</v>
      </c>
      <c r="E206" s="156" t="s">
        <v>1659</v>
      </c>
      <c r="F206" s="156" t="s">
        <v>1869</v>
      </c>
      <c r="G206" s="157">
        <v>42198</v>
      </c>
      <c r="H206" s="158" t="s">
        <v>1918</v>
      </c>
      <c r="I206" s="158" t="s">
        <v>2103</v>
      </c>
      <c r="J206" s="156" t="s">
        <v>2145</v>
      </c>
      <c r="K206" s="156" t="s">
        <v>2160</v>
      </c>
      <c r="L206" s="156" t="s">
        <v>2168</v>
      </c>
      <c r="M206" s="156">
        <v>2</v>
      </c>
      <c r="N206" s="159">
        <v>5260000</v>
      </c>
      <c r="O206" s="160">
        <v>1</v>
      </c>
      <c r="P206" s="160">
        <v>1</v>
      </c>
      <c r="Q206" s="160">
        <v>0</v>
      </c>
      <c r="R206" s="159">
        <v>1</v>
      </c>
      <c r="S206" s="157"/>
      <c r="T206" s="114"/>
      <c r="U206" s="161">
        <v>0</v>
      </c>
      <c r="V206" s="158" t="s">
        <v>852</v>
      </c>
      <c r="W206" s="158" t="s">
        <v>627</v>
      </c>
      <c r="X206" s="158"/>
      <c r="Y206" s="162" t="s">
        <v>2188</v>
      </c>
      <c r="Z206" s="163" t="s">
        <v>2194</v>
      </c>
      <c r="AA206" s="163">
        <v>1</v>
      </c>
      <c r="AB206" s="163">
        <v>4</v>
      </c>
      <c r="AC206" s="101">
        <v>1</v>
      </c>
      <c r="AD206" s="101">
        <v>4</v>
      </c>
      <c r="AE206" s="101" t="s">
        <v>2201</v>
      </c>
      <c r="AF206" s="102" t="str">
        <f>IF(ISERROR(VLOOKUP(AE206,小分類・セグメント!$A:$C,3,FALSE)),"",VLOOKUP(AE206,小分類・セグメント!$A:$C,3,FALSE))</f>
        <v>ECD</v>
      </c>
      <c r="AG206" s="103" t="str">
        <f>IF(ISERROR(VLOOKUP(AE206,小細分類・事業部マスタ!$E:$H,4,FALSE)),"",VLOOKUP(AE206,小細分類・事業部マスタ!$E:$H,4,FALSE))</f>
        <v>パワーデバイス事業部</v>
      </c>
      <c r="AH206" s="101" t="s">
        <v>2183</v>
      </c>
      <c r="AI206" s="104">
        <f>IF(ISERROR(VLOOKUP(AJ206,設置場所!$A:$B,2,FALSE)),"",VLOOKUP(AJ206,設置場所!$A:$B,2,FALSE))</f>
        <v>900009002</v>
      </c>
      <c r="AJ206" s="101" t="s">
        <v>2194</v>
      </c>
      <c r="AK206" s="101" t="s">
        <v>1331</v>
      </c>
      <c r="AL206" s="101" t="s">
        <v>1336</v>
      </c>
      <c r="AM206" s="101"/>
      <c r="AN206" s="101"/>
      <c r="AO206" s="101"/>
      <c r="AP206" s="101"/>
      <c r="AQ206" s="101"/>
      <c r="AR206" s="105"/>
      <c r="AS206" s="171"/>
    </row>
    <row r="207" spans="1:45">
      <c r="A207" s="131" t="s">
        <v>1224</v>
      </c>
      <c r="B207" s="156" t="s">
        <v>1337</v>
      </c>
      <c r="C207" s="156" t="s">
        <v>1320</v>
      </c>
      <c r="D207" s="156" t="s">
        <v>1554</v>
      </c>
      <c r="E207" s="156" t="s">
        <v>1660</v>
      </c>
      <c r="F207" s="156" t="s">
        <v>1870</v>
      </c>
      <c r="G207" s="157">
        <v>42198</v>
      </c>
      <c r="H207" s="158" t="s">
        <v>1918</v>
      </c>
      <c r="I207" s="158" t="s">
        <v>2104</v>
      </c>
      <c r="J207" s="156" t="s">
        <v>2145</v>
      </c>
      <c r="K207" s="156" t="s">
        <v>2160</v>
      </c>
      <c r="L207" s="156" t="s">
        <v>2168</v>
      </c>
      <c r="M207" s="156">
        <v>2</v>
      </c>
      <c r="N207" s="159">
        <v>2970000</v>
      </c>
      <c r="O207" s="160">
        <v>1</v>
      </c>
      <c r="P207" s="160">
        <v>1</v>
      </c>
      <c r="Q207" s="160">
        <v>0</v>
      </c>
      <c r="R207" s="159">
        <v>1</v>
      </c>
      <c r="S207" s="157"/>
      <c r="T207" s="114"/>
      <c r="U207" s="161">
        <v>0</v>
      </c>
      <c r="V207" s="158" t="s">
        <v>852</v>
      </c>
      <c r="W207" s="158" t="s">
        <v>627</v>
      </c>
      <c r="X207" s="158"/>
      <c r="Y207" s="162" t="s">
        <v>2188</v>
      </c>
      <c r="Z207" s="163" t="s">
        <v>2194</v>
      </c>
      <c r="AA207" s="163">
        <v>1</v>
      </c>
      <c r="AB207" s="163">
        <v>4</v>
      </c>
      <c r="AC207" s="101">
        <v>1</v>
      </c>
      <c r="AD207" s="101">
        <v>4</v>
      </c>
      <c r="AE207" s="101" t="s">
        <v>2201</v>
      </c>
      <c r="AF207" s="102" t="str">
        <f>IF(ISERROR(VLOOKUP(AE207,小分類・セグメント!$A:$C,3,FALSE)),"",VLOOKUP(AE207,小分類・セグメント!$A:$C,3,FALSE))</f>
        <v>ECD</v>
      </c>
      <c r="AG207" s="103" t="str">
        <f>IF(ISERROR(VLOOKUP(AE207,小細分類・事業部マスタ!$E:$H,4,FALSE)),"",VLOOKUP(AE207,小細分類・事業部マスタ!$E:$H,4,FALSE))</f>
        <v>パワーデバイス事業部</v>
      </c>
      <c r="AH207" s="101" t="s">
        <v>2183</v>
      </c>
      <c r="AI207" s="104">
        <f>IF(ISERROR(VLOOKUP(AJ207,設置場所!$A:$B,2,FALSE)),"",VLOOKUP(AJ207,設置場所!$A:$B,2,FALSE))</f>
        <v>900009002</v>
      </c>
      <c r="AJ207" s="101" t="s">
        <v>2194</v>
      </c>
      <c r="AK207" s="101" t="s">
        <v>1331</v>
      </c>
      <c r="AL207" s="101" t="s">
        <v>1336</v>
      </c>
      <c r="AM207" s="101"/>
      <c r="AN207" s="101"/>
      <c r="AO207" s="101"/>
      <c r="AP207" s="101"/>
      <c r="AQ207" s="101"/>
      <c r="AR207" s="105"/>
      <c r="AS207" s="171"/>
    </row>
    <row r="208" spans="1:45">
      <c r="A208" s="131" t="s">
        <v>1224</v>
      </c>
      <c r="B208" s="156" t="s">
        <v>1337</v>
      </c>
      <c r="C208" s="156" t="s">
        <v>1320</v>
      </c>
      <c r="D208" s="156" t="s">
        <v>1555</v>
      </c>
      <c r="E208" s="156" t="s">
        <v>1661</v>
      </c>
      <c r="F208" s="156" t="s">
        <v>1871</v>
      </c>
      <c r="G208" s="157">
        <v>42198</v>
      </c>
      <c r="H208" s="158" t="s">
        <v>1918</v>
      </c>
      <c r="I208" s="158" t="s">
        <v>2105</v>
      </c>
      <c r="J208" s="156" t="s">
        <v>2145</v>
      </c>
      <c r="K208" s="156" t="s">
        <v>2160</v>
      </c>
      <c r="L208" s="156" t="s">
        <v>2168</v>
      </c>
      <c r="M208" s="156">
        <v>2</v>
      </c>
      <c r="N208" s="159">
        <v>2970000</v>
      </c>
      <c r="O208" s="160">
        <v>1</v>
      </c>
      <c r="P208" s="160">
        <v>1</v>
      </c>
      <c r="Q208" s="160">
        <v>0</v>
      </c>
      <c r="R208" s="159">
        <v>1</v>
      </c>
      <c r="S208" s="157"/>
      <c r="T208" s="114"/>
      <c r="U208" s="161">
        <v>0</v>
      </c>
      <c r="V208" s="158" t="s">
        <v>852</v>
      </c>
      <c r="W208" s="158" t="s">
        <v>627</v>
      </c>
      <c r="X208" s="158"/>
      <c r="Y208" s="162" t="s">
        <v>2188</v>
      </c>
      <c r="Z208" s="163" t="s">
        <v>2194</v>
      </c>
      <c r="AA208" s="163">
        <v>1</v>
      </c>
      <c r="AB208" s="163">
        <v>4</v>
      </c>
      <c r="AC208" s="101">
        <v>1</v>
      </c>
      <c r="AD208" s="101">
        <v>4</v>
      </c>
      <c r="AE208" s="101" t="s">
        <v>2201</v>
      </c>
      <c r="AF208" s="102" t="str">
        <f>IF(ISERROR(VLOOKUP(AE208,小分類・セグメント!$A:$C,3,FALSE)),"",VLOOKUP(AE208,小分類・セグメント!$A:$C,3,FALSE))</f>
        <v>ECD</v>
      </c>
      <c r="AG208" s="103" t="str">
        <f>IF(ISERROR(VLOOKUP(AE208,小細分類・事業部マスタ!$E:$H,4,FALSE)),"",VLOOKUP(AE208,小細分類・事業部マスタ!$E:$H,4,FALSE))</f>
        <v>パワーデバイス事業部</v>
      </c>
      <c r="AH208" s="101" t="s">
        <v>2183</v>
      </c>
      <c r="AI208" s="104">
        <f>IF(ISERROR(VLOOKUP(AJ208,設置場所!$A:$B,2,FALSE)),"",VLOOKUP(AJ208,設置場所!$A:$B,2,FALSE))</f>
        <v>900009002</v>
      </c>
      <c r="AJ208" s="101" t="s">
        <v>2194</v>
      </c>
      <c r="AK208" s="101" t="s">
        <v>1331</v>
      </c>
      <c r="AL208" s="101" t="s">
        <v>1336</v>
      </c>
      <c r="AM208" s="101"/>
      <c r="AN208" s="101"/>
      <c r="AO208" s="101"/>
      <c r="AP208" s="101"/>
      <c r="AQ208" s="101"/>
      <c r="AR208" s="105"/>
      <c r="AS208" s="171"/>
    </row>
    <row r="209" spans="1:45">
      <c r="A209" s="131" t="s">
        <v>1224</v>
      </c>
      <c r="B209" s="156" t="s">
        <v>1337</v>
      </c>
      <c r="C209" s="156" t="s">
        <v>1320</v>
      </c>
      <c r="D209" s="156" t="s">
        <v>1556</v>
      </c>
      <c r="E209" s="156" t="s">
        <v>1662</v>
      </c>
      <c r="F209" s="156" t="s">
        <v>1872</v>
      </c>
      <c r="G209" s="157">
        <v>42186</v>
      </c>
      <c r="H209" s="158" t="s">
        <v>1918</v>
      </c>
      <c r="I209" s="158" t="s">
        <v>2106</v>
      </c>
      <c r="J209" s="156" t="s">
        <v>2141</v>
      </c>
      <c r="K209" s="156" t="s">
        <v>2156</v>
      </c>
      <c r="L209" s="156" t="s">
        <v>2168</v>
      </c>
      <c r="M209" s="156">
        <v>5</v>
      </c>
      <c r="N209" s="159">
        <v>1334000</v>
      </c>
      <c r="O209" s="160">
        <v>1</v>
      </c>
      <c r="P209" s="160">
        <v>1</v>
      </c>
      <c r="Q209" s="160">
        <v>0</v>
      </c>
      <c r="R209" s="159">
        <v>1</v>
      </c>
      <c r="S209" s="157"/>
      <c r="T209" s="114"/>
      <c r="U209" s="161">
        <v>0</v>
      </c>
      <c r="V209" s="158" t="s">
        <v>852</v>
      </c>
      <c r="W209" s="158" t="s">
        <v>627</v>
      </c>
      <c r="X209" s="158"/>
      <c r="Y209" s="162" t="s">
        <v>2185</v>
      </c>
      <c r="Z209" s="163" t="s">
        <v>2191</v>
      </c>
      <c r="AA209" s="163">
        <v>1</v>
      </c>
      <c r="AB209" s="163">
        <v>1</v>
      </c>
      <c r="AC209" s="101">
        <v>1</v>
      </c>
      <c r="AD209" s="101">
        <v>1</v>
      </c>
      <c r="AE209" s="101" t="s">
        <v>2201</v>
      </c>
      <c r="AF209" s="102" t="str">
        <f>IF(ISERROR(VLOOKUP(AE209,小分類・セグメント!$A:$C,3,FALSE)),"",VLOOKUP(AE209,小分類・セグメント!$A:$C,3,FALSE))</f>
        <v>ECD</v>
      </c>
      <c r="AG209" s="103" t="str">
        <f>IF(ISERROR(VLOOKUP(AE209,小細分類・事業部マスタ!$E:$H,4,FALSE)),"",VLOOKUP(AE209,小細分類・事業部マスタ!$E:$H,4,FALSE))</f>
        <v>パワーデバイス事業部</v>
      </c>
      <c r="AH209" s="101" t="s">
        <v>2205</v>
      </c>
      <c r="AI209" s="104">
        <f>IF(ISERROR(VLOOKUP(AJ209,設置場所!$A:$B,2,FALSE)),"",VLOOKUP(AJ209,設置場所!$A:$B,2,FALSE))</f>
        <v>900000030</v>
      </c>
      <c r="AJ209" s="101" t="s">
        <v>2191</v>
      </c>
      <c r="AK209" s="101" t="s">
        <v>1331</v>
      </c>
      <c r="AL209" s="101" t="s">
        <v>1336</v>
      </c>
      <c r="AM209" s="101"/>
      <c r="AN209" s="101"/>
      <c r="AO209" s="101"/>
      <c r="AP209" s="101"/>
      <c r="AQ209" s="101"/>
      <c r="AR209" s="105"/>
      <c r="AS209" s="171"/>
    </row>
    <row r="210" spans="1:45">
      <c r="A210" s="131" t="s">
        <v>1224</v>
      </c>
      <c r="B210" s="156" t="s">
        <v>1337</v>
      </c>
      <c r="C210" s="156" t="s">
        <v>1320</v>
      </c>
      <c r="D210" s="156" t="s">
        <v>1557</v>
      </c>
      <c r="E210" s="156" t="s">
        <v>1663</v>
      </c>
      <c r="F210" s="156" t="s">
        <v>1872</v>
      </c>
      <c r="G210" s="157">
        <v>42186</v>
      </c>
      <c r="H210" s="158" t="s">
        <v>1918</v>
      </c>
      <c r="I210" s="158" t="s">
        <v>2107</v>
      </c>
      <c r="J210" s="156" t="s">
        <v>2141</v>
      </c>
      <c r="K210" s="156" t="s">
        <v>2156</v>
      </c>
      <c r="L210" s="156" t="s">
        <v>2168</v>
      </c>
      <c r="M210" s="156">
        <v>5</v>
      </c>
      <c r="N210" s="159">
        <v>1333000</v>
      </c>
      <c r="O210" s="160">
        <v>1</v>
      </c>
      <c r="P210" s="160">
        <v>1</v>
      </c>
      <c r="Q210" s="160">
        <v>0</v>
      </c>
      <c r="R210" s="159">
        <v>1</v>
      </c>
      <c r="S210" s="157"/>
      <c r="T210" s="114"/>
      <c r="U210" s="161">
        <v>0</v>
      </c>
      <c r="V210" s="158" t="s">
        <v>852</v>
      </c>
      <c r="W210" s="158" t="s">
        <v>627</v>
      </c>
      <c r="X210" s="158"/>
      <c r="Y210" s="162" t="s">
        <v>2185</v>
      </c>
      <c r="Z210" s="163" t="s">
        <v>2191</v>
      </c>
      <c r="AA210" s="163">
        <v>1</v>
      </c>
      <c r="AB210" s="163">
        <v>1</v>
      </c>
      <c r="AC210" s="101">
        <v>1</v>
      </c>
      <c r="AD210" s="101">
        <v>1</v>
      </c>
      <c r="AE210" s="101" t="s">
        <v>2201</v>
      </c>
      <c r="AF210" s="102" t="str">
        <f>IF(ISERROR(VLOOKUP(AE210,小分類・セグメント!$A:$C,3,FALSE)),"",VLOOKUP(AE210,小分類・セグメント!$A:$C,3,FALSE))</f>
        <v>ECD</v>
      </c>
      <c r="AG210" s="103" t="str">
        <f>IF(ISERROR(VLOOKUP(AE210,小細分類・事業部マスタ!$E:$H,4,FALSE)),"",VLOOKUP(AE210,小細分類・事業部マスタ!$E:$H,4,FALSE))</f>
        <v>パワーデバイス事業部</v>
      </c>
      <c r="AH210" s="101" t="s">
        <v>2205</v>
      </c>
      <c r="AI210" s="104">
        <f>IF(ISERROR(VLOOKUP(AJ210,設置場所!$A:$B,2,FALSE)),"",VLOOKUP(AJ210,設置場所!$A:$B,2,FALSE))</f>
        <v>900000030</v>
      </c>
      <c r="AJ210" s="101" t="s">
        <v>2191</v>
      </c>
      <c r="AK210" s="101" t="s">
        <v>1331</v>
      </c>
      <c r="AL210" s="101" t="s">
        <v>1336</v>
      </c>
      <c r="AM210" s="101"/>
      <c r="AN210" s="101"/>
      <c r="AO210" s="101"/>
      <c r="AP210" s="101"/>
      <c r="AQ210" s="101"/>
      <c r="AR210" s="105"/>
      <c r="AS210" s="171"/>
    </row>
    <row r="211" spans="1:45">
      <c r="A211" s="131" t="s">
        <v>1224</v>
      </c>
      <c r="B211" s="156" t="s">
        <v>1337</v>
      </c>
      <c r="C211" s="156" t="s">
        <v>1320</v>
      </c>
      <c r="D211" s="156" t="s">
        <v>1558</v>
      </c>
      <c r="E211" s="156" t="s">
        <v>1664</v>
      </c>
      <c r="F211" s="156" t="s">
        <v>1872</v>
      </c>
      <c r="G211" s="157">
        <v>42186</v>
      </c>
      <c r="H211" s="158" t="s">
        <v>1918</v>
      </c>
      <c r="I211" s="158" t="s">
        <v>2108</v>
      </c>
      <c r="J211" s="156" t="s">
        <v>2141</v>
      </c>
      <c r="K211" s="156" t="s">
        <v>2156</v>
      </c>
      <c r="L211" s="156" t="s">
        <v>2168</v>
      </c>
      <c r="M211" s="156">
        <v>5</v>
      </c>
      <c r="N211" s="159">
        <v>1333000</v>
      </c>
      <c r="O211" s="160">
        <v>1</v>
      </c>
      <c r="P211" s="160">
        <v>1</v>
      </c>
      <c r="Q211" s="160">
        <v>0</v>
      </c>
      <c r="R211" s="159">
        <v>1</v>
      </c>
      <c r="S211" s="157"/>
      <c r="T211" s="114"/>
      <c r="U211" s="161">
        <v>0</v>
      </c>
      <c r="V211" s="158" t="s">
        <v>852</v>
      </c>
      <c r="W211" s="158" t="s">
        <v>627</v>
      </c>
      <c r="X211" s="158"/>
      <c r="Y211" s="162" t="s">
        <v>2185</v>
      </c>
      <c r="Z211" s="163" t="s">
        <v>2191</v>
      </c>
      <c r="AA211" s="163">
        <v>1</v>
      </c>
      <c r="AB211" s="163">
        <v>1</v>
      </c>
      <c r="AC211" s="101">
        <v>1</v>
      </c>
      <c r="AD211" s="101">
        <v>1</v>
      </c>
      <c r="AE211" s="101" t="s">
        <v>2201</v>
      </c>
      <c r="AF211" s="102" t="str">
        <f>IF(ISERROR(VLOOKUP(AE211,小分類・セグメント!$A:$C,3,FALSE)),"",VLOOKUP(AE211,小分類・セグメント!$A:$C,3,FALSE))</f>
        <v>ECD</v>
      </c>
      <c r="AG211" s="103" t="str">
        <f>IF(ISERROR(VLOOKUP(AE211,小細分類・事業部マスタ!$E:$H,4,FALSE)),"",VLOOKUP(AE211,小細分類・事業部マスタ!$E:$H,4,FALSE))</f>
        <v>パワーデバイス事業部</v>
      </c>
      <c r="AH211" s="101" t="s">
        <v>2205</v>
      </c>
      <c r="AI211" s="104">
        <f>IF(ISERROR(VLOOKUP(AJ211,設置場所!$A:$B,2,FALSE)),"",VLOOKUP(AJ211,設置場所!$A:$B,2,FALSE))</f>
        <v>900000030</v>
      </c>
      <c r="AJ211" s="101" t="s">
        <v>2191</v>
      </c>
      <c r="AK211" s="101" t="s">
        <v>1331</v>
      </c>
      <c r="AL211" s="101" t="s">
        <v>1336</v>
      </c>
      <c r="AM211" s="101"/>
      <c r="AN211" s="101"/>
      <c r="AO211" s="101"/>
      <c r="AP211" s="101"/>
      <c r="AQ211" s="101"/>
      <c r="AR211" s="105"/>
      <c r="AS211" s="171"/>
    </row>
    <row r="212" spans="1:45">
      <c r="A212" s="131" t="s">
        <v>1224</v>
      </c>
      <c r="B212" s="156" t="s">
        <v>1337</v>
      </c>
      <c r="C212" s="156" t="s">
        <v>1320</v>
      </c>
      <c r="D212" s="156" t="s">
        <v>1559</v>
      </c>
      <c r="E212" s="156" t="s">
        <v>1665</v>
      </c>
      <c r="F212" s="156" t="s">
        <v>1873</v>
      </c>
      <c r="G212" s="157">
        <v>42191</v>
      </c>
      <c r="H212" s="158" t="s">
        <v>1946</v>
      </c>
      <c r="I212" s="158" t="s">
        <v>2109</v>
      </c>
      <c r="J212" s="156" t="s">
        <v>2136</v>
      </c>
      <c r="K212" s="156" t="s">
        <v>2151</v>
      </c>
      <c r="L212" s="156" t="s">
        <v>2168</v>
      </c>
      <c r="M212" s="156">
        <v>10</v>
      </c>
      <c r="N212" s="159">
        <v>2045000</v>
      </c>
      <c r="O212" s="160">
        <v>1</v>
      </c>
      <c r="P212" s="160">
        <v>284797</v>
      </c>
      <c r="Q212" s="160">
        <v>11867</v>
      </c>
      <c r="R212" s="159">
        <v>249198</v>
      </c>
      <c r="S212" s="157"/>
      <c r="T212" s="114"/>
      <c r="U212" s="161">
        <v>0</v>
      </c>
      <c r="V212" s="158" t="s">
        <v>852</v>
      </c>
      <c r="W212" s="158" t="s">
        <v>627</v>
      </c>
      <c r="X212" s="158"/>
      <c r="Y212" s="162" t="s">
        <v>2185</v>
      </c>
      <c r="Z212" s="163" t="s">
        <v>2191</v>
      </c>
      <c r="AA212" s="163">
        <v>1</v>
      </c>
      <c r="AB212" s="163">
        <v>1</v>
      </c>
      <c r="AC212" s="101">
        <v>1</v>
      </c>
      <c r="AD212" s="101">
        <v>1</v>
      </c>
      <c r="AE212" s="101" t="s">
        <v>2201</v>
      </c>
      <c r="AF212" s="102" t="str">
        <f>IF(ISERROR(VLOOKUP(AE212,小分類・セグメント!$A:$C,3,FALSE)),"",VLOOKUP(AE212,小分類・セグメント!$A:$C,3,FALSE))</f>
        <v>ECD</v>
      </c>
      <c r="AG212" s="103" t="str">
        <f>IF(ISERROR(VLOOKUP(AE212,小細分類・事業部マスタ!$E:$H,4,FALSE)),"",VLOOKUP(AE212,小細分類・事業部マスタ!$E:$H,4,FALSE))</f>
        <v>パワーデバイス事業部</v>
      </c>
      <c r="AH212" s="101" t="s">
        <v>2207</v>
      </c>
      <c r="AI212" s="104">
        <f>IF(ISERROR(VLOOKUP(AJ212,設置場所!$A:$B,2,FALSE)),"",VLOOKUP(AJ212,設置場所!$A:$B,2,FALSE))</f>
        <v>900000030</v>
      </c>
      <c r="AJ212" s="101" t="s">
        <v>2191</v>
      </c>
      <c r="AK212" s="101" t="s">
        <v>1331</v>
      </c>
      <c r="AL212" s="101" t="s">
        <v>1336</v>
      </c>
      <c r="AM212" s="101"/>
      <c r="AN212" s="101"/>
      <c r="AO212" s="101"/>
      <c r="AP212" s="101"/>
      <c r="AQ212" s="101"/>
      <c r="AR212" s="105"/>
      <c r="AS212" s="171"/>
    </row>
    <row r="213" spans="1:45">
      <c r="A213" s="131" t="s">
        <v>1224</v>
      </c>
      <c r="B213" s="156" t="s">
        <v>1337</v>
      </c>
      <c r="C213" s="156" t="s">
        <v>1320</v>
      </c>
      <c r="D213" s="156" t="s">
        <v>1560</v>
      </c>
      <c r="E213" s="156" t="s">
        <v>1666</v>
      </c>
      <c r="F213" s="156" t="s">
        <v>1874</v>
      </c>
      <c r="G213" s="157">
        <v>42216</v>
      </c>
      <c r="H213" s="158" t="s">
        <v>1918</v>
      </c>
      <c r="I213" s="158" t="s">
        <v>2110</v>
      </c>
      <c r="J213" s="156" t="s">
        <v>2142</v>
      </c>
      <c r="K213" s="156" t="s">
        <v>2157</v>
      </c>
      <c r="L213" s="156" t="s">
        <v>2168</v>
      </c>
      <c r="M213" s="156">
        <v>2</v>
      </c>
      <c r="N213" s="159">
        <v>8050000</v>
      </c>
      <c r="O213" s="160">
        <v>1</v>
      </c>
      <c r="P213" s="160">
        <v>1</v>
      </c>
      <c r="Q213" s="160">
        <v>0</v>
      </c>
      <c r="R213" s="159">
        <v>1</v>
      </c>
      <c r="S213" s="157"/>
      <c r="T213" s="114"/>
      <c r="U213" s="161">
        <v>0</v>
      </c>
      <c r="V213" s="158" t="s">
        <v>852</v>
      </c>
      <c r="W213" s="158" t="s">
        <v>627</v>
      </c>
      <c r="X213" s="158"/>
      <c r="Y213" s="162" t="s">
        <v>2188</v>
      </c>
      <c r="Z213" s="163" t="s">
        <v>2194</v>
      </c>
      <c r="AA213" s="163">
        <v>1</v>
      </c>
      <c r="AB213" s="163">
        <v>4</v>
      </c>
      <c r="AC213" s="101">
        <v>1</v>
      </c>
      <c r="AD213" s="101">
        <v>4</v>
      </c>
      <c r="AE213" s="101" t="s">
        <v>2201</v>
      </c>
      <c r="AF213" s="102" t="str">
        <f>IF(ISERROR(VLOOKUP(AE213,小分類・セグメント!$A:$C,3,FALSE)),"",VLOOKUP(AE213,小分類・セグメント!$A:$C,3,FALSE))</f>
        <v>ECD</v>
      </c>
      <c r="AG213" s="103" t="str">
        <f>IF(ISERROR(VLOOKUP(AE213,小細分類・事業部マスタ!$E:$H,4,FALSE)),"",VLOOKUP(AE213,小細分類・事業部マスタ!$E:$H,4,FALSE))</f>
        <v>パワーデバイス事業部</v>
      </c>
      <c r="AH213" s="101" t="s">
        <v>2183</v>
      </c>
      <c r="AI213" s="104">
        <f>IF(ISERROR(VLOOKUP(AJ213,設置場所!$A:$B,2,FALSE)),"",VLOOKUP(AJ213,設置場所!$A:$B,2,FALSE))</f>
        <v>900009002</v>
      </c>
      <c r="AJ213" s="101" t="s">
        <v>2194</v>
      </c>
      <c r="AK213" s="101" t="s">
        <v>1331</v>
      </c>
      <c r="AL213" s="101" t="s">
        <v>1336</v>
      </c>
      <c r="AM213" s="101"/>
      <c r="AN213" s="101"/>
      <c r="AO213" s="101"/>
      <c r="AP213" s="101"/>
      <c r="AQ213" s="101"/>
      <c r="AR213" s="105"/>
      <c r="AS213" s="171"/>
    </row>
    <row r="214" spans="1:45">
      <c r="A214" s="131" t="s">
        <v>1224</v>
      </c>
      <c r="B214" s="156" t="s">
        <v>1337</v>
      </c>
      <c r="C214" s="156" t="s">
        <v>1320</v>
      </c>
      <c r="D214" s="156" t="s">
        <v>1561</v>
      </c>
      <c r="E214" s="156" t="s">
        <v>1667</v>
      </c>
      <c r="F214" s="156" t="s">
        <v>1875</v>
      </c>
      <c r="G214" s="157">
        <v>42216</v>
      </c>
      <c r="H214" s="158" t="s">
        <v>1918</v>
      </c>
      <c r="I214" s="158" t="s">
        <v>2111</v>
      </c>
      <c r="J214" s="156" t="s">
        <v>2142</v>
      </c>
      <c r="K214" s="156" t="s">
        <v>2157</v>
      </c>
      <c r="L214" s="156" t="s">
        <v>2168</v>
      </c>
      <c r="M214" s="156">
        <v>2</v>
      </c>
      <c r="N214" s="159">
        <v>1250000</v>
      </c>
      <c r="O214" s="160">
        <v>1</v>
      </c>
      <c r="P214" s="160">
        <v>1</v>
      </c>
      <c r="Q214" s="160">
        <v>0</v>
      </c>
      <c r="R214" s="159">
        <v>1</v>
      </c>
      <c r="S214" s="157"/>
      <c r="T214" s="114"/>
      <c r="U214" s="161">
        <v>0</v>
      </c>
      <c r="V214" s="158" t="s">
        <v>852</v>
      </c>
      <c r="W214" s="158" t="s">
        <v>627</v>
      </c>
      <c r="X214" s="158"/>
      <c r="Y214" s="162" t="s">
        <v>2188</v>
      </c>
      <c r="Z214" s="163" t="s">
        <v>2194</v>
      </c>
      <c r="AA214" s="163">
        <v>1</v>
      </c>
      <c r="AB214" s="163">
        <v>4</v>
      </c>
      <c r="AC214" s="101">
        <v>1</v>
      </c>
      <c r="AD214" s="101">
        <v>4</v>
      </c>
      <c r="AE214" s="101" t="s">
        <v>2201</v>
      </c>
      <c r="AF214" s="102" t="str">
        <f>IF(ISERROR(VLOOKUP(AE214,小分類・セグメント!$A:$C,3,FALSE)),"",VLOOKUP(AE214,小分類・セグメント!$A:$C,3,FALSE))</f>
        <v>ECD</v>
      </c>
      <c r="AG214" s="103" t="str">
        <f>IF(ISERROR(VLOOKUP(AE214,小細分類・事業部マスタ!$E:$H,4,FALSE)),"",VLOOKUP(AE214,小細分類・事業部マスタ!$E:$H,4,FALSE))</f>
        <v>パワーデバイス事業部</v>
      </c>
      <c r="AH214" s="101" t="s">
        <v>2183</v>
      </c>
      <c r="AI214" s="104">
        <f>IF(ISERROR(VLOOKUP(AJ214,設置場所!$A:$B,2,FALSE)),"",VLOOKUP(AJ214,設置場所!$A:$B,2,FALSE))</f>
        <v>900009002</v>
      </c>
      <c r="AJ214" s="101" t="s">
        <v>2194</v>
      </c>
      <c r="AK214" s="101" t="s">
        <v>1331</v>
      </c>
      <c r="AL214" s="101" t="s">
        <v>1336</v>
      </c>
      <c r="AM214" s="101"/>
      <c r="AN214" s="101"/>
      <c r="AO214" s="101"/>
      <c r="AP214" s="101"/>
      <c r="AQ214" s="101"/>
      <c r="AR214" s="105"/>
      <c r="AS214" s="171"/>
    </row>
    <row r="215" spans="1:45">
      <c r="A215" s="131" t="s">
        <v>1224</v>
      </c>
      <c r="B215" s="156" t="s">
        <v>1337</v>
      </c>
      <c r="C215" s="156" t="s">
        <v>1320</v>
      </c>
      <c r="D215" s="156" t="s">
        <v>1562</v>
      </c>
      <c r="E215" s="156" t="s">
        <v>1668</v>
      </c>
      <c r="F215" s="156" t="s">
        <v>1875</v>
      </c>
      <c r="G215" s="157">
        <v>42216</v>
      </c>
      <c r="H215" s="158" t="s">
        <v>1918</v>
      </c>
      <c r="I215" s="158" t="s">
        <v>2112</v>
      </c>
      <c r="J215" s="156" t="s">
        <v>2142</v>
      </c>
      <c r="K215" s="156" t="s">
        <v>2157</v>
      </c>
      <c r="L215" s="156" t="s">
        <v>2168</v>
      </c>
      <c r="M215" s="156">
        <v>2</v>
      </c>
      <c r="N215" s="159">
        <v>1250000</v>
      </c>
      <c r="O215" s="160">
        <v>1</v>
      </c>
      <c r="P215" s="160">
        <v>1</v>
      </c>
      <c r="Q215" s="160">
        <v>0</v>
      </c>
      <c r="R215" s="159">
        <v>1</v>
      </c>
      <c r="S215" s="157"/>
      <c r="T215" s="114"/>
      <c r="U215" s="161">
        <v>0</v>
      </c>
      <c r="V215" s="158" t="s">
        <v>852</v>
      </c>
      <c r="W215" s="158" t="s">
        <v>627</v>
      </c>
      <c r="X215" s="158"/>
      <c r="Y215" s="162" t="s">
        <v>2188</v>
      </c>
      <c r="Z215" s="163" t="s">
        <v>2194</v>
      </c>
      <c r="AA215" s="163">
        <v>1</v>
      </c>
      <c r="AB215" s="163">
        <v>4</v>
      </c>
      <c r="AC215" s="101">
        <v>1</v>
      </c>
      <c r="AD215" s="101">
        <v>4</v>
      </c>
      <c r="AE215" s="101" t="s">
        <v>2201</v>
      </c>
      <c r="AF215" s="102" t="str">
        <f>IF(ISERROR(VLOOKUP(AE215,小分類・セグメント!$A:$C,3,FALSE)),"",VLOOKUP(AE215,小分類・セグメント!$A:$C,3,FALSE))</f>
        <v>ECD</v>
      </c>
      <c r="AG215" s="103" t="str">
        <f>IF(ISERROR(VLOOKUP(AE215,小細分類・事業部マスタ!$E:$H,4,FALSE)),"",VLOOKUP(AE215,小細分類・事業部マスタ!$E:$H,4,FALSE))</f>
        <v>パワーデバイス事業部</v>
      </c>
      <c r="AH215" s="101" t="s">
        <v>2183</v>
      </c>
      <c r="AI215" s="104">
        <f>IF(ISERROR(VLOOKUP(AJ215,設置場所!$A:$B,2,FALSE)),"",VLOOKUP(AJ215,設置場所!$A:$B,2,FALSE))</f>
        <v>900009002</v>
      </c>
      <c r="AJ215" s="101" t="s">
        <v>2194</v>
      </c>
      <c r="AK215" s="101" t="s">
        <v>1331</v>
      </c>
      <c r="AL215" s="101" t="s">
        <v>1336</v>
      </c>
      <c r="AM215" s="101"/>
      <c r="AN215" s="101"/>
      <c r="AO215" s="101"/>
      <c r="AP215" s="101"/>
      <c r="AQ215" s="101"/>
      <c r="AR215" s="105"/>
      <c r="AS215" s="171"/>
    </row>
    <row r="216" spans="1:45">
      <c r="A216" s="131" t="s">
        <v>1224</v>
      </c>
      <c r="B216" s="156" t="s">
        <v>1337</v>
      </c>
      <c r="C216" s="156" t="s">
        <v>1320</v>
      </c>
      <c r="D216" s="156" t="s">
        <v>1563</v>
      </c>
      <c r="E216" s="156" t="s">
        <v>1669</v>
      </c>
      <c r="F216" s="156" t="s">
        <v>1875</v>
      </c>
      <c r="G216" s="157">
        <v>42216</v>
      </c>
      <c r="H216" s="158" t="s">
        <v>1918</v>
      </c>
      <c r="I216" s="158" t="s">
        <v>2113</v>
      </c>
      <c r="J216" s="156" t="s">
        <v>2142</v>
      </c>
      <c r="K216" s="156" t="s">
        <v>2157</v>
      </c>
      <c r="L216" s="156" t="s">
        <v>2168</v>
      </c>
      <c r="M216" s="156">
        <v>2</v>
      </c>
      <c r="N216" s="159">
        <v>1250000</v>
      </c>
      <c r="O216" s="160">
        <v>1</v>
      </c>
      <c r="P216" s="160">
        <v>1</v>
      </c>
      <c r="Q216" s="160">
        <v>0</v>
      </c>
      <c r="R216" s="159">
        <v>1</v>
      </c>
      <c r="S216" s="157"/>
      <c r="T216" s="114"/>
      <c r="U216" s="161">
        <v>0</v>
      </c>
      <c r="V216" s="158" t="s">
        <v>852</v>
      </c>
      <c r="W216" s="158" t="s">
        <v>627</v>
      </c>
      <c r="X216" s="158"/>
      <c r="Y216" s="162" t="s">
        <v>2188</v>
      </c>
      <c r="Z216" s="163" t="s">
        <v>2194</v>
      </c>
      <c r="AA216" s="163">
        <v>1</v>
      </c>
      <c r="AB216" s="163">
        <v>4</v>
      </c>
      <c r="AC216" s="101">
        <v>1</v>
      </c>
      <c r="AD216" s="101">
        <v>4</v>
      </c>
      <c r="AE216" s="101" t="s">
        <v>2201</v>
      </c>
      <c r="AF216" s="102" t="str">
        <f>IF(ISERROR(VLOOKUP(AE216,小分類・セグメント!$A:$C,3,FALSE)),"",VLOOKUP(AE216,小分類・セグメント!$A:$C,3,FALSE))</f>
        <v>ECD</v>
      </c>
      <c r="AG216" s="103" t="str">
        <f>IF(ISERROR(VLOOKUP(AE216,小細分類・事業部マスタ!$E:$H,4,FALSE)),"",VLOOKUP(AE216,小細分類・事業部マスタ!$E:$H,4,FALSE))</f>
        <v>パワーデバイス事業部</v>
      </c>
      <c r="AH216" s="101" t="s">
        <v>2183</v>
      </c>
      <c r="AI216" s="104">
        <f>IF(ISERROR(VLOOKUP(AJ216,設置場所!$A:$B,2,FALSE)),"",VLOOKUP(AJ216,設置場所!$A:$B,2,FALSE))</f>
        <v>900009002</v>
      </c>
      <c r="AJ216" s="101" t="s">
        <v>2194</v>
      </c>
      <c r="AK216" s="101" t="s">
        <v>1331</v>
      </c>
      <c r="AL216" s="101" t="s">
        <v>1336</v>
      </c>
      <c r="AM216" s="101"/>
      <c r="AN216" s="101"/>
      <c r="AO216" s="101"/>
      <c r="AP216" s="101"/>
      <c r="AQ216" s="101"/>
      <c r="AR216" s="105"/>
      <c r="AS216" s="171"/>
    </row>
    <row r="217" spans="1:45">
      <c r="A217" s="131" t="s">
        <v>1224</v>
      </c>
      <c r="B217" s="156" t="s">
        <v>1337</v>
      </c>
      <c r="C217" s="156" t="s">
        <v>1320</v>
      </c>
      <c r="D217" s="156" t="s">
        <v>1564</v>
      </c>
      <c r="E217" s="156"/>
      <c r="F217" s="156" t="s">
        <v>1876</v>
      </c>
      <c r="G217" s="157">
        <v>42563</v>
      </c>
      <c r="H217" s="158" t="s">
        <v>1947</v>
      </c>
      <c r="I217" s="158" t="s">
        <v>2114</v>
      </c>
      <c r="J217" s="156" t="s">
        <v>2141</v>
      </c>
      <c r="K217" s="156" t="s">
        <v>2156</v>
      </c>
      <c r="L217" s="156" t="s">
        <v>2168</v>
      </c>
      <c r="M217" s="156">
        <v>5</v>
      </c>
      <c r="N217" s="159">
        <v>4065000</v>
      </c>
      <c r="O217" s="160">
        <v>1</v>
      </c>
      <c r="P217" s="160">
        <v>1</v>
      </c>
      <c r="Q217" s="160">
        <v>0</v>
      </c>
      <c r="R217" s="159">
        <v>1</v>
      </c>
      <c r="S217" s="157"/>
      <c r="T217" s="114"/>
      <c r="U217" s="161">
        <v>0</v>
      </c>
      <c r="V217" s="158" t="s">
        <v>852</v>
      </c>
      <c r="W217" s="158" t="s">
        <v>627</v>
      </c>
      <c r="X217" s="158"/>
      <c r="Y217" s="162" t="s">
        <v>2185</v>
      </c>
      <c r="Z217" s="163" t="s">
        <v>2191</v>
      </c>
      <c r="AA217" s="163">
        <v>1</v>
      </c>
      <c r="AB217" s="163">
        <v>1</v>
      </c>
      <c r="AC217" s="101">
        <v>1</v>
      </c>
      <c r="AD217" s="101">
        <v>1</v>
      </c>
      <c r="AE217" s="101" t="s">
        <v>2201</v>
      </c>
      <c r="AF217" s="102" t="str">
        <f>IF(ISERROR(VLOOKUP(AE217,小分類・セグメント!$A:$C,3,FALSE)),"",VLOOKUP(AE217,小分類・セグメント!$A:$C,3,FALSE))</f>
        <v>ECD</v>
      </c>
      <c r="AG217" s="103" t="str">
        <f>IF(ISERROR(VLOOKUP(AE217,小細分類・事業部マスタ!$E:$H,4,FALSE)),"",VLOOKUP(AE217,小細分類・事業部マスタ!$E:$H,4,FALSE))</f>
        <v>パワーデバイス事業部</v>
      </c>
      <c r="AH217" s="101" t="s">
        <v>2205</v>
      </c>
      <c r="AI217" s="104">
        <f>IF(ISERROR(VLOOKUP(AJ217,設置場所!$A:$B,2,FALSE)),"",VLOOKUP(AJ217,設置場所!$A:$B,2,FALSE))</f>
        <v>900000030</v>
      </c>
      <c r="AJ217" s="101" t="s">
        <v>2191</v>
      </c>
      <c r="AK217" s="101" t="s">
        <v>1331</v>
      </c>
      <c r="AL217" s="101" t="s">
        <v>1336</v>
      </c>
      <c r="AM217" s="101"/>
      <c r="AN217" s="101"/>
      <c r="AO217" s="101"/>
      <c r="AP217" s="101"/>
      <c r="AQ217" s="101"/>
      <c r="AR217" s="105"/>
      <c r="AS217" s="171"/>
    </row>
    <row r="218" spans="1:45">
      <c r="A218" s="131" t="s">
        <v>1224</v>
      </c>
      <c r="B218" s="156" t="s">
        <v>1337</v>
      </c>
      <c r="C218" s="156" t="s">
        <v>1320</v>
      </c>
      <c r="D218" s="156" t="s">
        <v>1565</v>
      </c>
      <c r="E218" s="156"/>
      <c r="F218" s="156" t="s">
        <v>1877</v>
      </c>
      <c r="G218" s="157">
        <v>42614</v>
      </c>
      <c r="H218" s="158" t="s">
        <v>1948</v>
      </c>
      <c r="I218" s="158" t="s">
        <v>2115</v>
      </c>
      <c r="J218" s="156" t="s">
        <v>2148</v>
      </c>
      <c r="K218" s="156" t="s">
        <v>2163</v>
      </c>
      <c r="L218" s="156" t="s">
        <v>2168</v>
      </c>
      <c r="M218" s="156">
        <v>2</v>
      </c>
      <c r="N218" s="159">
        <v>223400</v>
      </c>
      <c r="O218" s="160">
        <v>1</v>
      </c>
      <c r="P218" s="160">
        <v>1</v>
      </c>
      <c r="Q218" s="160">
        <v>0</v>
      </c>
      <c r="R218" s="159">
        <v>1</v>
      </c>
      <c r="S218" s="157">
        <v>44019</v>
      </c>
      <c r="T218" s="114"/>
      <c r="U218" s="161">
        <v>0</v>
      </c>
      <c r="V218" s="158" t="s">
        <v>852</v>
      </c>
      <c r="W218" s="158" t="s">
        <v>627</v>
      </c>
      <c r="X218" s="158" t="s">
        <v>2183</v>
      </c>
      <c r="Y218" s="162" t="s">
        <v>2189</v>
      </c>
      <c r="Z218" s="163" t="s">
        <v>2195</v>
      </c>
      <c r="AA218" s="163">
        <v>1</v>
      </c>
      <c r="AB218" s="163">
        <v>4</v>
      </c>
      <c r="AC218" s="101">
        <v>1</v>
      </c>
      <c r="AD218" s="101">
        <v>4</v>
      </c>
      <c r="AE218" s="101" t="s">
        <v>2201</v>
      </c>
      <c r="AF218" s="102" t="str">
        <f>IF(ISERROR(VLOOKUP(AE218,小分類・セグメント!$A:$C,3,FALSE)),"",VLOOKUP(AE218,小分類・セグメント!$A:$C,3,FALSE))</f>
        <v>ECD</v>
      </c>
      <c r="AG218" s="103" t="str">
        <f>IF(ISERROR(VLOOKUP(AE218,小細分類・事業部マスタ!$E:$H,4,FALSE)),"",VLOOKUP(AE218,小細分類・事業部マスタ!$E:$H,4,FALSE))</f>
        <v>パワーデバイス事業部</v>
      </c>
      <c r="AH218" s="101" t="s">
        <v>2183</v>
      </c>
      <c r="AI218" s="104">
        <f>IF(ISERROR(VLOOKUP(AJ218,設置場所!$A:$B,2,FALSE)),"",VLOOKUP(AJ218,設置場所!$A:$B,2,FALSE))</f>
        <v>900002004</v>
      </c>
      <c r="AJ218" s="101" t="s">
        <v>2195</v>
      </c>
      <c r="AK218" s="101" t="s">
        <v>1331</v>
      </c>
      <c r="AL218" s="101" t="s">
        <v>1336</v>
      </c>
      <c r="AM218" s="101"/>
      <c r="AN218" s="101"/>
      <c r="AO218" s="101"/>
      <c r="AP218" s="101"/>
      <c r="AQ218" s="101"/>
      <c r="AR218" s="105"/>
      <c r="AS218" s="171"/>
    </row>
    <row r="219" spans="1:45">
      <c r="A219" s="131" t="s">
        <v>1224</v>
      </c>
      <c r="B219" s="156" t="s">
        <v>1337</v>
      </c>
      <c r="C219" s="156" t="s">
        <v>1320</v>
      </c>
      <c r="D219" s="156" t="s">
        <v>1566</v>
      </c>
      <c r="E219" s="156"/>
      <c r="F219" s="156" t="s">
        <v>1878</v>
      </c>
      <c r="G219" s="157">
        <v>42614</v>
      </c>
      <c r="H219" s="158" t="s">
        <v>1948</v>
      </c>
      <c r="I219" s="158" t="s">
        <v>2115</v>
      </c>
      <c r="J219" s="156" t="s">
        <v>2148</v>
      </c>
      <c r="K219" s="156" t="s">
        <v>2163</v>
      </c>
      <c r="L219" s="156" t="s">
        <v>2168</v>
      </c>
      <c r="M219" s="156">
        <v>2</v>
      </c>
      <c r="N219" s="159">
        <v>213100</v>
      </c>
      <c r="O219" s="160">
        <v>1</v>
      </c>
      <c r="P219" s="160">
        <v>1</v>
      </c>
      <c r="Q219" s="160">
        <v>0</v>
      </c>
      <c r="R219" s="159">
        <v>1</v>
      </c>
      <c r="S219" s="157">
        <v>44019</v>
      </c>
      <c r="T219" s="114"/>
      <c r="U219" s="161">
        <v>0</v>
      </c>
      <c r="V219" s="158" t="s">
        <v>852</v>
      </c>
      <c r="W219" s="158" t="s">
        <v>627</v>
      </c>
      <c r="X219" s="158" t="s">
        <v>2183</v>
      </c>
      <c r="Y219" s="162" t="s">
        <v>2189</v>
      </c>
      <c r="Z219" s="163" t="s">
        <v>2195</v>
      </c>
      <c r="AA219" s="163">
        <v>1</v>
      </c>
      <c r="AB219" s="163">
        <v>4</v>
      </c>
      <c r="AC219" s="101">
        <v>1</v>
      </c>
      <c r="AD219" s="101">
        <v>4</v>
      </c>
      <c r="AE219" s="101" t="s">
        <v>2201</v>
      </c>
      <c r="AF219" s="102" t="str">
        <f>IF(ISERROR(VLOOKUP(AE219,小分類・セグメント!$A:$C,3,FALSE)),"",VLOOKUP(AE219,小分類・セグメント!$A:$C,3,FALSE))</f>
        <v>ECD</v>
      </c>
      <c r="AG219" s="103" t="str">
        <f>IF(ISERROR(VLOOKUP(AE219,小細分類・事業部マスタ!$E:$H,4,FALSE)),"",VLOOKUP(AE219,小細分類・事業部マスタ!$E:$H,4,FALSE))</f>
        <v>パワーデバイス事業部</v>
      </c>
      <c r="AH219" s="101" t="s">
        <v>2183</v>
      </c>
      <c r="AI219" s="104">
        <f>IF(ISERROR(VLOOKUP(AJ219,設置場所!$A:$B,2,FALSE)),"",VLOOKUP(AJ219,設置場所!$A:$B,2,FALSE))</f>
        <v>900002004</v>
      </c>
      <c r="AJ219" s="101" t="s">
        <v>2195</v>
      </c>
      <c r="AK219" s="101" t="s">
        <v>1331</v>
      </c>
      <c r="AL219" s="101" t="s">
        <v>1336</v>
      </c>
      <c r="AM219" s="101"/>
      <c r="AN219" s="101"/>
      <c r="AO219" s="101"/>
      <c r="AP219" s="101"/>
      <c r="AQ219" s="101"/>
      <c r="AR219" s="105"/>
      <c r="AS219" s="171"/>
    </row>
    <row r="220" spans="1:45">
      <c r="A220" s="131" t="s">
        <v>1224</v>
      </c>
      <c r="B220" s="156" t="s">
        <v>1337</v>
      </c>
      <c r="C220" s="156" t="s">
        <v>1320</v>
      </c>
      <c r="D220" s="156" t="s">
        <v>1567</v>
      </c>
      <c r="E220" s="156" t="s">
        <v>1670</v>
      </c>
      <c r="F220" s="156" t="s">
        <v>1879</v>
      </c>
      <c r="G220" s="157">
        <v>42818</v>
      </c>
      <c r="H220" s="158"/>
      <c r="I220" s="158"/>
      <c r="J220" s="156" t="s">
        <v>2142</v>
      </c>
      <c r="K220" s="156" t="s">
        <v>2157</v>
      </c>
      <c r="L220" s="156" t="s">
        <v>2168</v>
      </c>
      <c r="M220" s="156">
        <v>5</v>
      </c>
      <c r="N220" s="159">
        <v>370628</v>
      </c>
      <c r="O220" s="160">
        <v>1</v>
      </c>
      <c r="P220" s="160">
        <v>1</v>
      </c>
      <c r="Q220" s="160">
        <v>0</v>
      </c>
      <c r="R220" s="159">
        <v>1</v>
      </c>
      <c r="S220" s="114"/>
      <c r="T220" s="114"/>
      <c r="U220" s="161">
        <v>0</v>
      </c>
      <c r="V220" s="158" t="s">
        <v>852</v>
      </c>
      <c r="W220" s="158" t="s">
        <v>627</v>
      </c>
      <c r="X220" s="158"/>
      <c r="Y220" s="162" t="s">
        <v>2185</v>
      </c>
      <c r="Z220" s="163" t="s">
        <v>2191</v>
      </c>
      <c r="AA220" s="163">
        <v>1</v>
      </c>
      <c r="AB220" s="163">
        <v>1</v>
      </c>
      <c r="AC220" s="101">
        <v>1</v>
      </c>
      <c r="AD220" s="101">
        <v>1</v>
      </c>
      <c r="AE220" s="101" t="s">
        <v>2201</v>
      </c>
      <c r="AF220" s="102" t="str">
        <f>IF(ISERROR(VLOOKUP(AE220,小分類・セグメント!$A:$C,3,FALSE)),"",VLOOKUP(AE220,小分類・セグメント!$A:$C,3,FALSE))</f>
        <v>ECD</v>
      </c>
      <c r="AG220" s="103" t="str">
        <f>IF(ISERROR(VLOOKUP(AE220,小細分類・事業部マスタ!$E:$H,4,FALSE)),"",VLOOKUP(AE220,小細分類・事業部マスタ!$E:$H,4,FALSE))</f>
        <v>パワーデバイス事業部</v>
      </c>
      <c r="AH220" s="101" t="s">
        <v>2205</v>
      </c>
      <c r="AI220" s="104">
        <f>IF(ISERROR(VLOOKUP(AJ220,設置場所!$A:$B,2,FALSE)),"",VLOOKUP(AJ220,設置場所!$A:$B,2,FALSE))</f>
        <v>900000030</v>
      </c>
      <c r="AJ220" s="101" t="s">
        <v>2191</v>
      </c>
      <c r="AK220" s="101" t="s">
        <v>1331</v>
      </c>
      <c r="AL220" s="101" t="s">
        <v>1336</v>
      </c>
      <c r="AM220" s="101"/>
      <c r="AN220" s="101"/>
      <c r="AO220" s="101"/>
      <c r="AP220" s="101"/>
      <c r="AQ220" s="101"/>
      <c r="AR220" s="105"/>
      <c r="AS220" s="171"/>
    </row>
    <row r="221" spans="1:45">
      <c r="A221" s="131" t="s">
        <v>1224</v>
      </c>
      <c r="B221" s="156" t="s">
        <v>1337</v>
      </c>
      <c r="C221" s="156" t="s">
        <v>1320</v>
      </c>
      <c r="D221" s="156" t="s">
        <v>1568</v>
      </c>
      <c r="E221" s="156"/>
      <c r="F221" s="156" t="s">
        <v>1880</v>
      </c>
      <c r="G221" s="157">
        <v>42853</v>
      </c>
      <c r="H221" s="158" t="s">
        <v>1949</v>
      </c>
      <c r="I221" s="158" t="s">
        <v>2116</v>
      </c>
      <c r="J221" s="156" t="s">
        <v>2142</v>
      </c>
      <c r="K221" s="156" t="s">
        <v>2157</v>
      </c>
      <c r="L221" s="156" t="s">
        <v>2168</v>
      </c>
      <c r="M221" s="156">
        <v>5</v>
      </c>
      <c r="N221" s="159">
        <v>326910</v>
      </c>
      <c r="O221" s="160">
        <v>1</v>
      </c>
      <c r="P221" s="160">
        <v>1</v>
      </c>
      <c r="Q221" s="160">
        <v>0</v>
      </c>
      <c r="R221" s="159">
        <v>1</v>
      </c>
      <c r="S221" s="114"/>
      <c r="T221" s="114"/>
      <c r="U221" s="161">
        <v>0</v>
      </c>
      <c r="V221" s="158" t="s">
        <v>852</v>
      </c>
      <c r="W221" s="158" t="s">
        <v>627</v>
      </c>
      <c r="X221" s="158" t="s">
        <v>2169</v>
      </c>
      <c r="Y221" s="162" t="s">
        <v>2185</v>
      </c>
      <c r="Z221" s="163" t="s">
        <v>2191</v>
      </c>
      <c r="AA221" s="163">
        <v>1</v>
      </c>
      <c r="AB221" s="163">
        <v>1</v>
      </c>
      <c r="AC221" s="101">
        <v>1</v>
      </c>
      <c r="AD221" s="101">
        <v>1</v>
      </c>
      <c r="AE221" s="101" t="s">
        <v>2201</v>
      </c>
      <c r="AF221" s="102" t="str">
        <f>IF(ISERROR(VLOOKUP(AE221,小分類・セグメント!$A:$C,3,FALSE)),"",VLOOKUP(AE221,小分類・セグメント!$A:$C,3,FALSE))</f>
        <v>ECD</v>
      </c>
      <c r="AG221" s="103" t="str">
        <f>IF(ISERROR(VLOOKUP(AE221,小細分類・事業部マスタ!$E:$H,4,FALSE)),"",VLOOKUP(AE221,小細分類・事業部マスタ!$E:$H,4,FALSE))</f>
        <v>パワーデバイス事業部</v>
      </c>
      <c r="AH221" s="101" t="s">
        <v>2169</v>
      </c>
      <c r="AI221" s="104">
        <f>IF(ISERROR(VLOOKUP(AJ221,設置場所!$A:$B,2,FALSE)),"",VLOOKUP(AJ221,設置場所!$A:$B,2,FALSE))</f>
        <v>900000030</v>
      </c>
      <c r="AJ221" s="101" t="s">
        <v>2191</v>
      </c>
      <c r="AK221" s="101" t="s">
        <v>1331</v>
      </c>
      <c r="AL221" s="101" t="s">
        <v>1336</v>
      </c>
      <c r="AM221" s="101"/>
      <c r="AN221" s="101"/>
      <c r="AO221" s="101"/>
      <c r="AP221" s="101"/>
      <c r="AQ221" s="101"/>
      <c r="AR221" s="105"/>
      <c r="AS221" s="171"/>
    </row>
    <row r="222" spans="1:45">
      <c r="A222" s="131" t="s">
        <v>1224</v>
      </c>
      <c r="B222" s="156" t="s">
        <v>1337</v>
      </c>
      <c r="C222" s="156" t="s">
        <v>1320</v>
      </c>
      <c r="D222" s="156" t="s">
        <v>1569</v>
      </c>
      <c r="E222" s="156"/>
      <c r="F222" s="156" t="s">
        <v>1881</v>
      </c>
      <c r="G222" s="157">
        <v>42853</v>
      </c>
      <c r="H222" s="158" t="s">
        <v>1950</v>
      </c>
      <c r="I222" s="158" t="s">
        <v>2117</v>
      </c>
      <c r="J222" s="156" t="s">
        <v>2148</v>
      </c>
      <c r="K222" s="156" t="s">
        <v>2163</v>
      </c>
      <c r="L222" s="156" t="s">
        <v>2168</v>
      </c>
      <c r="M222" s="156">
        <v>2</v>
      </c>
      <c r="N222" s="159">
        <v>543000</v>
      </c>
      <c r="O222" s="160">
        <v>1</v>
      </c>
      <c r="P222" s="160">
        <v>1</v>
      </c>
      <c r="Q222" s="160">
        <v>0</v>
      </c>
      <c r="R222" s="159">
        <v>1</v>
      </c>
      <c r="S222" s="114"/>
      <c r="T222" s="114"/>
      <c r="U222" s="161">
        <v>0</v>
      </c>
      <c r="V222" s="158" t="s">
        <v>852</v>
      </c>
      <c r="W222" s="158" t="s">
        <v>627</v>
      </c>
      <c r="X222" s="158" t="s">
        <v>2183</v>
      </c>
      <c r="Y222" s="162" t="s">
        <v>2190</v>
      </c>
      <c r="Z222" s="163" t="s">
        <v>2196</v>
      </c>
      <c r="AA222" s="163">
        <v>1</v>
      </c>
      <c r="AB222" s="163">
        <v>1</v>
      </c>
      <c r="AC222" s="101">
        <v>1</v>
      </c>
      <c r="AD222" s="101">
        <v>1</v>
      </c>
      <c r="AE222" s="101" t="s">
        <v>2201</v>
      </c>
      <c r="AF222" s="102" t="str">
        <f>IF(ISERROR(VLOOKUP(AE222,小分類・セグメント!$A:$C,3,FALSE)),"",VLOOKUP(AE222,小分類・セグメント!$A:$C,3,FALSE))</f>
        <v>ECD</v>
      </c>
      <c r="AG222" s="103" t="str">
        <f>IF(ISERROR(VLOOKUP(AE222,小細分類・事業部マスタ!$E:$H,4,FALSE)),"",VLOOKUP(AE222,小細分類・事業部マスタ!$E:$H,4,FALSE))</f>
        <v>パワーデバイス事業部</v>
      </c>
      <c r="AH222" s="101" t="s">
        <v>2183</v>
      </c>
      <c r="AI222" s="104">
        <f>IF(ISERROR(VLOOKUP(AJ222,設置場所!$A:$B,2,FALSE)),"",VLOOKUP(AJ222,設置場所!$A:$B,2,FALSE))</f>
        <v>900002001</v>
      </c>
      <c r="AJ222" s="101" t="s">
        <v>2196</v>
      </c>
      <c r="AK222" s="101" t="s">
        <v>1331</v>
      </c>
      <c r="AL222" s="101" t="s">
        <v>1336</v>
      </c>
      <c r="AM222" s="101"/>
      <c r="AN222" s="101"/>
      <c r="AO222" s="101"/>
      <c r="AP222" s="101"/>
      <c r="AQ222" s="101"/>
      <c r="AR222" s="105"/>
      <c r="AS222" s="171"/>
    </row>
    <row r="223" spans="1:45">
      <c r="A223" s="131" t="s">
        <v>1224</v>
      </c>
      <c r="B223" s="156" t="s">
        <v>1337</v>
      </c>
      <c r="C223" s="156" t="s">
        <v>1320</v>
      </c>
      <c r="D223" s="156" t="s">
        <v>1570</v>
      </c>
      <c r="E223" s="156"/>
      <c r="F223" s="156" t="s">
        <v>1882</v>
      </c>
      <c r="G223" s="157">
        <v>42906</v>
      </c>
      <c r="H223" s="158" t="s">
        <v>1950</v>
      </c>
      <c r="I223" s="158" t="s">
        <v>2118</v>
      </c>
      <c r="J223" s="156" t="s">
        <v>2148</v>
      </c>
      <c r="K223" s="156" t="s">
        <v>2163</v>
      </c>
      <c r="L223" s="156" t="s">
        <v>2168</v>
      </c>
      <c r="M223" s="156">
        <v>2</v>
      </c>
      <c r="N223" s="159">
        <v>390000</v>
      </c>
      <c r="O223" s="160">
        <v>1</v>
      </c>
      <c r="P223" s="160">
        <v>1</v>
      </c>
      <c r="Q223" s="160">
        <v>0</v>
      </c>
      <c r="R223" s="159">
        <v>1</v>
      </c>
      <c r="S223" s="114"/>
      <c r="T223" s="114"/>
      <c r="U223" s="161">
        <v>0</v>
      </c>
      <c r="V223" s="158" t="s">
        <v>852</v>
      </c>
      <c r="W223" s="158" t="s">
        <v>627</v>
      </c>
      <c r="X223" s="158" t="s">
        <v>2183</v>
      </c>
      <c r="Y223" s="162" t="s">
        <v>2190</v>
      </c>
      <c r="Z223" s="163" t="s">
        <v>2196</v>
      </c>
      <c r="AA223" s="163">
        <v>1</v>
      </c>
      <c r="AB223" s="163">
        <v>1</v>
      </c>
      <c r="AC223" s="101">
        <v>1</v>
      </c>
      <c r="AD223" s="101">
        <v>1</v>
      </c>
      <c r="AE223" s="101" t="s">
        <v>2201</v>
      </c>
      <c r="AF223" s="102" t="str">
        <f>IF(ISERROR(VLOOKUP(AE223,小分類・セグメント!$A:$C,3,FALSE)),"",VLOOKUP(AE223,小分類・セグメント!$A:$C,3,FALSE))</f>
        <v>ECD</v>
      </c>
      <c r="AG223" s="103" t="str">
        <f>IF(ISERROR(VLOOKUP(AE223,小細分類・事業部マスタ!$E:$H,4,FALSE)),"",VLOOKUP(AE223,小細分類・事業部マスタ!$E:$H,4,FALSE))</f>
        <v>パワーデバイス事業部</v>
      </c>
      <c r="AH223" s="101" t="s">
        <v>2183</v>
      </c>
      <c r="AI223" s="104">
        <f>IF(ISERROR(VLOOKUP(AJ223,設置場所!$A:$B,2,FALSE)),"",VLOOKUP(AJ223,設置場所!$A:$B,2,FALSE))</f>
        <v>900002001</v>
      </c>
      <c r="AJ223" s="101" t="s">
        <v>2196</v>
      </c>
      <c r="AK223" s="101" t="s">
        <v>1331</v>
      </c>
      <c r="AL223" s="101" t="s">
        <v>1336</v>
      </c>
      <c r="AM223" s="101"/>
      <c r="AN223" s="101"/>
      <c r="AO223" s="101"/>
      <c r="AP223" s="101"/>
      <c r="AQ223" s="101"/>
      <c r="AR223" s="105"/>
      <c r="AS223" s="171"/>
    </row>
    <row r="224" spans="1:45">
      <c r="A224" s="131" t="s">
        <v>1224</v>
      </c>
      <c r="B224" s="156" t="s">
        <v>1337</v>
      </c>
      <c r="C224" s="156" t="s">
        <v>1320</v>
      </c>
      <c r="D224" s="156" t="s">
        <v>1571</v>
      </c>
      <c r="E224" s="156"/>
      <c r="F224" s="156" t="s">
        <v>1883</v>
      </c>
      <c r="G224" s="157">
        <v>42936</v>
      </c>
      <c r="H224" s="158" t="s">
        <v>1950</v>
      </c>
      <c r="I224" s="158" t="s">
        <v>2119</v>
      </c>
      <c r="J224" s="156" t="s">
        <v>2148</v>
      </c>
      <c r="K224" s="156" t="s">
        <v>2163</v>
      </c>
      <c r="L224" s="156" t="s">
        <v>2168</v>
      </c>
      <c r="M224" s="156">
        <v>2</v>
      </c>
      <c r="N224" s="159">
        <v>365000</v>
      </c>
      <c r="O224" s="160">
        <v>1</v>
      </c>
      <c r="P224" s="160">
        <v>1</v>
      </c>
      <c r="Q224" s="160">
        <v>0</v>
      </c>
      <c r="R224" s="159">
        <v>1</v>
      </c>
      <c r="S224" s="114"/>
      <c r="T224" s="114"/>
      <c r="U224" s="161">
        <v>0</v>
      </c>
      <c r="V224" s="158" t="s">
        <v>852</v>
      </c>
      <c r="W224" s="158" t="s">
        <v>627</v>
      </c>
      <c r="X224" s="158" t="s">
        <v>2183</v>
      </c>
      <c r="Y224" s="162" t="s">
        <v>2190</v>
      </c>
      <c r="Z224" s="163" t="s">
        <v>2196</v>
      </c>
      <c r="AA224" s="163">
        <v>1</v>
      </c>
      <c r="AB224" s="163">
        <v>1</v>
      </c>
      <c r="AC224" s="101">
        <v>1</v>
      </c>
      <c r="AD224" s="101">
        <v>1</v>
      </c>
      <c r="AE224" s="101" t="s">
        <v>2201</v>
      </c>
      <c r="AF224" s="102" t="str">
        <f>IF(ISERROR(VLOOKUP(AE224,小分類・セグメント!$A:$C,3,FALSE)),"",VLOOKUP(AE224,小分類・セグメント!$A:$C,3,FALSE))</f>
        <v>ECD</v>
      </c>
      <c r="AG224" s="103" t="str">
        <f>IF(ISERROR(VLOOKUP(AE224,小細分類・事業部マスタ!$E:$H,4,FALSE)),"",VLOOKUP(AE224,小細分類・事業部マスタ!$E:$H,4,FALSE))</f>
        <v>パワーデバイス事業部</v>
      </c>
      <c r="AH224" s="101" t="s">
        <v>2183</v>
      </c>
      <c r="AI224" s="104">
        <f>IF(ISERROR(VLOOKUP(AJ224,設置場所!$A:$B,2,FALSE)),"",VLOOKUP(AJ224,設置場所!$A:$B,2,FALSE))</f>
        <v>900002001</v>
      </c>
      <c r="AJ224" s="101" t="s">
        <v>2196</v>
      </c>
      <c r="AK224" s="101" t="s">
        <v>1331</v>
      </c>
      <c r="AL224" s="101" t="s">
        <v>1336</v>
      </c>
      <c r="AM224" s="101"/>
      <c r="AN224" s="101"/>
      <c r="AO224" s="101"/>
      <c r="AP224" s="101"/>
      <c r="AQ224" s="101"/>
      <c r="AR224" s="105"/>
      <c r="AS224" s="171"/>
    </row>
    <row r="225" spans="1:45">
      <c r="A225" s="131" t="s">
        <v>1224</v>
      </c>
      <c r="B225" s="156" t="s">
        <v>1337</v>
      </c>
      <c r="C225" s="156" t="s">
        <v>1320</v>
      </c>
      <c r="D225" s="156" t="s">
        <v>1572</v>
      </c>
      <c r="E225" s="156"/>
      <c r="F225" s="156" t="s">
        <v>1884</v>
      </c>
      <c r="G225" s="157">
        <v>43222</v>
      </c>
      <c r="H225" s="158" t="s">
        <v>1924</v>
      </c>
      <c r="I225" s="158" t="s">
        <v>2120</v>
      </c>
      <c r="J225" s="156" t="s">
        <v>2145</v>
      </c>
      <c r="K225" s="156" t="s">
        <v>2160</v>
      </c>
      <c r="L225" s="156" t="s">
        <v>2168</v>
      </c>
      <c r="M225" s="156">
        <v>2</v>
      </c>
      <c r="N225" s="159">
        <v>2915000</v>
      </c>
      <c r="O225" s="160">
        <v>1</v>
      </c>
      <c r="P225" s="160">
        <v>1</v>
      </c>
      <c r="Q225" s="160">
        <v>0</v>
      </c>
      <c r="R225" s="159">
        <v>1</v>
      </c>
      <c r="S225" s="114"/>
      <c r="T225" s="114"/>
      <c r="U225" s="161">
        <v>0</v>
      </c>
      <c r="V225" s="158" t="s">
        <v>852</v>
      </c>
      <c r="W225" s="158" t="s">
        <v>627</v>
      </c>
      <c r="X225" s="158" t="s">
        <v>2169</v>
      </c>
      <c r="Y225" s="162" t="s">
        <v>2188</v>
      </c>
      <c r="Z225" s="163" t="s">
        <v>2194</v>
      </c>
      <c r="AA225" s="163">
        <v>1</v>
      </c>
      <c r="AB225" s="163">
        <v>4</v>
      </c>
      <c r="AC225" s="101">
        <v>1</v>
      </c>
      <c r="AD225" s="101">
        <v>4</v>
      </c>
      <c r="AE225" s="101" t="s">
        <v>2201</v>
      </c>
      <c r="AF225" s="102" t="str">
        <f>IF(ISERROR(VLOOKUP(AE225,小分類・セグメント!$A:$C,3,FALSE)),"",VLOOKUP(AE225,小分類・セグメント!$A:$C,3,FALSE))</f>
        <v>ECD</v>
      </c>
      <c r="AG225" s="103" t="str">
        <f>IF(ISERROR(VLOOKUP(AE225,小細分類・事業部マスタ!$E:$H,4,FALSE)),"",VLOOKUP(AE225,小細分類・事業部マスタ!$E:$H,4,FALSE))</f>
        <v>パワーデバイス事業部</v>
      </c>
      <c r="AH225" s="101" t="s">
        <v>2169</v>
      </c>
      <c r="AI225" s="104">
        <f>IF(ISERROR(VLOOKUP(AJ225,設置場所!$A:$B,2,FALSE)),"",VLOOKUP(AJ225,設置場所!$A:$B,2,FALSE))</f>
        <v>900009002</v>
      </c>
      <c r="AJ225" s="101" t="s">
        <v>2194</v>
      </c>
      <c r="AK225" s="101" t="s">
        <v>1331</v>
      </c>
      <c r="AL225" s="101" t="s">
        <v>1336</v>
      </c>
      <c r="AM225" s="101"/>
      <c r="AN225" s="101"/>
      <c r="AO225" s="101"/>
      <c r="AP225" s="101"/>
      <c r="AQ225" s="101"/>
      <c r="AR225" s="105"/>
      <c r="AS225" s="171"/>
    </row>
    <row r="226" spans="1:45">
      <c r="A226" s="131" t="s">
        <v>1224</v>
      </c>
      <c r="B226" s="156" t="s">
        <v>1337</v>
      </c>
      <c r="C226" s="156" t="s">
        <v>1320</v>
      </c>
      <c r="D226" s="156" t="s">
        <v>1573</v>
      </c>
      <c r="E226" s="156"/>
      <c r="F226" s="156" t="s">
        <v>1885</v>
      </c>
      <c r="G226" s="157">
        <v>43265</v>
      </c>
      <c r="H226" s="158" t="s">
        <v>1924</v>
      </c>
      <c r="I226" s="158" t="s">
        <v>2121</v>
      </c>
      <c r="J226" s="156" t="s">
        <v>2135</v>
      </c>
      <c r="K226" s="156" t="s">
        <v>2150</v>
      </c>
      <c r="L226" s="156" t="s">
        <v>2168</v>
      </c>
      <c r="M226" s="156">
        <v>2</v>
      </c>
      <c r="N226" s="159">
        <v>1490000</v>
      </c>
      <c r="O226" s="160">
        <v>1</v>
      </c>
      <c r="P226" s="160">
        <v>1</v>
      </c>
      <c r="Q226" s="160">
        <v>0</v>
      </c>
      <c r="R226" s="159">
        <v>1</v>
      </c>
      <c r="S226" s="114"/>
      <c r="T226" s="114"/>
      <c r="U226" s="161">
        <v>0</v>
      </c>
      <c r="V226" s="158" t="s">
        <v>852</v>
      </c>
      <c r="W226" s="158" t="s">
        <v>627</v>
      </c>
      <c r="X226" s="158" t="s">
        <v>2169</v>
      </c>
      <c r="Y226" s="162" t="s">
        <v>2188</v>
      </c>
      <c r="Z226" s="163" t="s">
        <v>2194</v>
      </c>
      <c r="AA226" s="163">
        <v>1</v>
      </c>
      <c r="AB226" s="163">
        <v>4</v>
      </c>
      <c r="AC226" s="101">
        <v>1</v>
      </c>
      <c r="AD226" s="101">
        <v>4</v>
      </c>
      <c r="AE226" s="101" t="s">
        <v>2201</v>
      </c>
      <c r="AF226" s="102" t="str">
        <f>IF(ISERROR(VLOOKUP(AE226,小分類・セグメント!$A:$C,3,FALSE)),"",VLOOKUP(AE226,小分類・セグメント!$A:$C,3,FALSE))</f>
        <v>ECD</v>
      </c>
      <c r="AG226" s="103" t="str">
        <f>IF(ISERROR(VLOOKUP(AE226,小細分類・事業部マスタ!$E:$H,4,FALSE)),"",VLOOKUP(AE226,小細分類・事業部マスタ!$E:$H,4,FALSE))</f>
        <v>パワーデバイス事業部</v>
      </c>
      <c r="AH226" s="101" t="s">
        <v>2169</v>
      </c>
      <c r="AI226" s="104">
        <f>IF(ISERROR(VLOOKUP(AJ226,設置場所!$A:$B,2,FALSE)),"",VLOOKUP(AJ226,設置場所!$A:$B,2,FALSE))</f>
        <v>900009002</v>
      </c>
      <c r="AJ226" s="101" t="s">
        <v>2194</v>
      </c>
      <c r="AK226" s="101" t="s">
        <v>1331</v>
      </c>
      <c r="AL226" s="101" t="s">
        <v>1336</v>
      </c>
      <c r="AM226" s="101"/>
      <c r="AN226" s="101"/>
      <c r="AO226" s="101"/>
      <c r="AP226" s="101"/>
      <c r="AQ226" s="101"/>
      <c r="AR226" s="105"/>
      <c r="AS226" s="171"/>
    </row>
    <row r="227" spans="1:45">
      <c r="A227" s="131" t="s">
        <v>1224</v>
      </c>
      <c r="B227" s="156" t="s">
        <v>1337</v>
      </c>
      <c r="C227" s="156" t="s">
        <v>1320</v>
      </c>
      <c r="D227" s="156" t="s">
        <v>1574</v>
      </c>
      <c r="E227" s="156"/>
      <c r="F227" s="156" t="s">
        <v>1886</v>
      </c>
      <c r="G227" s="157">
        <v>43311</v>
      </c>
      <c r="H227" s="158" t="s">
        <v>1924</v>
      </c>
      <c r="I227" s="158" t="s">
        <v>2122</v>
      </c>
      <c r="J227" s="156" t="s">
        <v>2135</v>
      </c>
      <c r="K227" s="156" t="s">
        <v>2150</v>
      </c>
      <c r="L227" s="156" t="s">
        <v>2168</v>
      </c>
      <c r="M227" s="156">
        <v>2</v>
      </c>
      <c r="N227" s="159">
        <v>1300000</v>
      </c>
      <c r="O227" s="160">
        <v>1</v>
      </c>
      <c r="P227" s="160">
        <v>1</v>
      </c>
      <c r="Q227" s="160">
        <v>0</v>
      </c>
      <c r="R227" s="159">
        <v>1</v>
      </c>
      <c r="S227" s="114"/>
      <c r="T227" s="114"/>
      <c r="U227" s="161">
        <v>0</v>
      </c>
      <c r="V227" s="158" t="s">
        <v>852</v>
      </c>
      <c r="W227" s="158" t="s">
        <v>627</v>
      </c>
      <c r="X227" s="158" t="s">
        <v>2169</v>
      </c>
      <c r="Y227" s="162" t="s">
        <v>2188</v>
      </c>
      <c r="Z227" s="163" t="s">
        <v>2194</v>
      </c>
      <c r="AA227" s="163">
        <v>1</v>
      </c>
      <c r="AB227" s="163">
        <v>4</v>
      </c>
      <c r="AC227" s="101">
        <v>1</v>
      </c>
      <c r="AD227" s="101">
        <v>4</v>
      </c>
      <c r="AE227" s="101" t="s">
        <v>2201</v>
      </c>
      <c r="AF227" s="102" t="str">
        <f>IF(ISERROR(VLOOKUP(AE227,小分類・セグメント!$A:$C,3,FALSE)),"",VLOOKUP(AE227,小分類・セグメント!$A:$C,3,FALSE))</f>
        <v>ECD</v>
      </c>
      <c r="AG227" s="103" t="str">
        <f>IF(ISERROR(VLOOKUP(AE227,小細分類・事業部マスタ!$E:$H,4,FALSE)),"",VLOOKUP(AE227,小細分類・事業部マスタ!$E:$H,4,FALSE))</f>
        <v>パワーデバイス事業部</v>
      </c>
      <c r="AH227" s="101" t="s">
        <v>2169</v>
      </c>
      <c r="AI227" s="104">
        <f>IF(ISERROR(VLOOKUP(AJ227,設置場所!$A:$B,2,FALSE)),"",VLOOKUP(AJ227,設置場所!$A:$B,2,FALSE))</f>
        <v>900009002</v>
      </c>
      <c r="AJ227" s="101" t="s">
        <v>2194</v>
      </c>
      <c r="AK227" s="101" t="s">
        <v>1331</v>
      </c>
      <c r="AL227" s="101" t="s">
        <v>1336</v>
      </c>
      <c r="AM227" s="101"/>
      <c r="AN227" s="101"/>
      <c r="AO227" s="101"/>
      <c r="AP227" s="101"/>
      <c r="AQ227" s="101"/>
      <c r="AR227" s="105"/>
      <c r="AS227" s="171"/>
    </row>
    <row r="228" spans="1:45">
      <c r="A228" s="131" t="s">
        <v>1224</v>
      </c>
      <c r="B228" s="156" t="s">
        <v>1337</v>
      </c>
      <c r="C228" s="156" t="s">
        <v>1320</v>
      </c>
      <c r="D228" s="156" t="s">
        <v>1575</v>
      </c>
      <c r="E228" s="156"/>
      <c r="F228" s="156" t="s">
        <v>1887</v>
      </c>
      <c r="G228" s="157">
        <v>43333</v>
      </c>
      <c r="H228" s="158" t="s">
        <v>1950</v>
      </c>
      <c r="I228" s="158" t="s">
        <v>2123</v>
      </c>
      <c r="J228" s="156" t="s">
        <v>2148</v>
      </c>
      <c r="K228" s="156" t="s">
        <v>2163</v>
      </c>
      <c r="L228" s="156" t="s">
        <v>2168</v>
      </c>
      <c r="M228" s="156">
        <v>2</v>
      </c>
      <c r="N228" s="159">
        <v>1150000</v>
      </c>
      <c r="O228" s="160">
        <v>1</v>
      </c>
      <c r="P228" s="160">
        <v>1</v>
      </c>
      <c r="Q228" s="160">
        <v>0</v>
      </c>
      <c r="R228" s="159">
        <v>1</v>
      </c>
      <c r="S228" s="114"/>
      <c r="T228" s="114"/>
      <c r="U228" s="161">
        <v>0</v>
      </c>
      <c r="V228" s="158" t="s">
        <v>852</v>
      </c>
      <c r="W228" s="158" t="s">
        <v>627</v>
      </c>
      <c r="X228" s="158" t="s">
        <v>2183</v>
      </c>
      <c r="Y228" s="162" t="s">
        <v>2190</v>
      </c>
      <c r="Z228" s="163" t="s">
        <v>2196</v>
      </c>
      <c r="AA228" s="163">
        <v>1</v>
      </c>
      <c r="AB228" s="163">
        <v>1</v>
      </c>
      <c r="AC228" s="101">
        <v>1</v>
      </c>
      <c r="AD228" s="101">
        <v>1</v>
      </c>
      <c r="AE228" s="101" t="s">
        <v>2201</v>
      </c>
      <c r="AF228" s="102" t="str">
        <f>IF(ISERROR(VLOOKUP(AE228,小分類・セグメント!$A:$C,3,FALSE)),"",VLOOKUP(AE228,小分類・セグメント!$A:$C,3,FALSE))</f>
        <v>ECD</v>
      </c>
      <c r="AG228" s="103" t="str">
        <f>IF(ISERROR(VLOOKUP(AE228,小細分類・事業部マスタ!$E:$H,4,FALSE)),"",VLOOKUP(AE228,小細分類・事業部マスタ!$E:$H,4,FALSE))</f>
        <v>パワーデバイス事業部</v>
      </c>
      <c r="AH228" s="101" t="s">
        <v>2183</v>
      </c>
      <c r="AI228" s="104">
        <f>IF(ISERROR(VLOOKUP(AJ228,設置場所!$A:$B,2,FALSE)),"",VLOOKUP(AJ228,設置場所!$A:$B,2,FALSE))</f>
        <v>900002001</v>
      </c>
      <c r="AJ228" s="101" t="s">
        <v>2196</v>
      </c>
      <c r="AK228" s="101" t="s">
        <v>1331</v>
      </c>
      <c r="AL228" s="101" t="s">
        <v>1336</v>
      </c>
      <c r="AM228" s="101"/>
      <c r="AN228" s="101"/>
      <c r="AO228" s="101"/>
      <c r="AP228" s="101"/>
      <c r="AQ228" s="101"/>
      <c r="AR228" s="105"/>
      <c r="AS228" s="171"/>
    </row>
    <row r="229" spans="1:45">
      <c r="A229" s="131" t="s">
        <v>1224</v>
      </c>
      <c r="B229" s="156" t="s">
        <v>1337</v>
      </c>
      <c r="C229" s="156" t="s">
        <v>1320</v>
      </c>
      <c r="D229" s="156" t="s">
        <v>1576</v>
      </c>
      <c r="E229" s="156"/>
      <c r="F229" s="156" t="s">
        <v>1888</v>
      </c>
      <c r="G229" s="157">
        <v>43437</v>
      </c>
      <c r="H229" s="158" t="s">
        <v>1924</v>
      </c>
      <c r="I229" s="158" t="s">
        <v>2025</v>
      </c>
      <c r="J229" s="156" t="s">
        <v>2149</v>
      </c>
      <c r="K229" s="156" t="s">
        <v>2164</v>
      </c>
      <c r="L229" s="156" t="s">
        <v>2168</v>
      </c>
      <c r="M229" s="156">
        <v>2</v>
      </c>
      <c r="N229" s="159">
        <v>5700000</v>
      </c>
      <c r="O229" s="160">
        <v>1</v>
      </c>
      <c r="P229" s="160">
        <v>1</v>
      </c>
      <c r="Q229" s="160">
        <v>0</v>
      </c>
      <c r="R229" s="159">
        <v>1</v>
      </c>
      <c r="S229" s="114"/>
      <c r="T229" s="114"/>
      <c r="U229" s="161">
        <v>0</v>
      </c>
      <c r="V229" s="158" t="s">
        <v>852</v>
      </c>
      <c r="W229" s="158" t="s">
        <v>627</v>
      </c>
      <c r="X229" s="158" t="s">
        <v>2169</v>
      </c>
      <c r="Y229" s="162" t="s">
        <v>2188</v>
      </c>
      <c r="Z229" s="163" t="s">
        <v>2194</v>
      </c>
      <c r="AA229" s="163">
        <v>1</v>
      </c>
      <c r="AB229" s="163">
        <v>4</v>
      </c>
      <c r="AC229" s="101">
        <v>1</v>
      </c>
      <c r="AD229" s="101">
        <v>4</v>
      </c>
      <c r="AE229" s="101" t="s">
        <v>2201</v>
      </c>
      <c r="AF229" s="102" t="str">
        <f>IF(ISERROR(VLOOKUP(AE229,小分類・セグメント!$A:$C,3,FALSE)),"",VLOOKUP(AE229,小分類・セグメント!$A:$C,3,FALSE))</f>
        <v>ECD</v>
      </c>
      <c r="AG229" s="103" t="str">
        <f>IF(ISERROR(VLOOKUP(AE229,小細分類・事業部マスタ!$E:$H,4,FALSE)),"",VLOOKUP(AE229,小細分類・事業部マスタ!$E:$H,4,FALSE))</f>
        <v>パワーデバイス事業部</v>
      </c>
      <c r="AH229" s="101" t="s">
        <v>2169</v>
      </c>
      <c r="AI229" s="104">
        <f>IF(ISERROR(VLOOKUP(AJ229,設置場所!$A:$B,2,FALSE)),"",VLOOKUP(AJ229,設置場所!$A:$B,2,FALSE))</f>
        <v>900009002</v>
      </c>
      <c r="AJ229" s="101" t="s">
        <v>2194</v>
      </c>
      <c r="AK229" s="101" t="s">
        <v>1331</v>
      </c>
      <c r="AL229" s="101" t="s">
        <v>1336</v>
      </c>
      <c r="AM229" s="101"/>
      <c r="AN229" s="101"/>
      <c r="AO229" s="101"/>
      <c r="AP229" s="101"/>
      <c r="AQ229" s="101"/>
      <c r="AR229" s="105"/>
      <c r="AS229" s="171"/>
    </row>
    <row r="230" spans="1:45">
      <c r="A230" s="131" t="s">
        <v>1224</v>
      </c>
      <c r="B230" s="156" t="s">
        <v>1337</v>
      </c>
      <c r="C230" s="156" t="s">
        <v>1320</v>
      </c>
      <c r="D230" s="156" t="s">
        <v>1577</v>
      </c>
      <c r="E230" s="156"/>
      <c r="F230" s="156" t="s">
        <v>1889</v>
      </c>
      <c r="G230" s="157">
        <v>43437</v>
      </c>
      <c r="H230" s="158" t="s">
        <v>1924</v>
      </c>
      <c r="I230" s="158" t="s">
        <v>2025</v>
      </c>
      <c r="J230" s="156" t="s">
        <v>2149</v>
      </c>
      <c r="K230" s="156" t="s">
        <v>2164</v>
      </c>
      <c r="L230" s="156" t="s">
        <v>2168</v>
      </c>
      <c r="M230" s="156">
        <v>2</v>
      </c>
      <c r="N230" s="159">
        <v>1300000</v>
      </c>
      <c r="O230" s="160">
        <v>1</v>
      </c>
      <c r="P230" s="160">
        <v>1</v>
      </c>
      <c r="Q230" s="160">
        <v>0</v>
      </c>
      <c r="R230" s="159">
        <v>1</v>
      </c>
      <c r="S230" s="114"/>
      <c r="T230" s="114"/>
      <c r="U230" s="161">
        <v>0</v>
      </c>
      <c r="V230" s="158" t="s">
        <v>852</v>
      </c>
      <c r="W230" s="158" t="s">
        <v>627</v>
      </c>
      <c r="X230" s="158" t="s">
        <v>2169</v>
      </c>
      <c r="Y230" s="162" t="s">
        <v>2188</v>
      </c>
      <c r="Z230" s="163" t="s">
        <v>2194</v>
      </c>
      <c r="AA230" s="163">
        <v>1</v>
      </c>
      <c r="AB230" s="163">
        <v>4</v>
      </c>
      <c r="AC230" s="101">
        <v>1</v>
      </c>
      <c r="AD230" s="101">
        <v>4</v>
      </c>
      <c r="AE230" s="101" t="s">
        <v>2201</v>
      </c>
      <c r="AF230" s="102" t="str">
        <f>IF(ISERROR(VLOOKUP(AE230,小分類・セグメント!$A:$C,3,FALSE)),"",VLOOKUP(AE230,小分類・セグメント!$A:$C,3,FALSE))</f>
        <v>ECD</v>
      </c>
      <c r="AG230" s="103" t="str">
        <f>IF(ISERROR(VLOOKUP(AE230,小細分類・事業部マスタ!$E:$H,4,FALSE)),"",VLOOKUP(AE230,小細分類・事業部マスタ!$E:$H,4,FALSE))</f>
        <v>パワーデバイス事業部</v>
      </c>
      <c r="AH230" s="101" t="s">
        <v>2169</v>
      </c>
      <c r="AI230" s="104">
        <f>IF(ISERROR(VLOOKUP(AJ230,設置場所!$A:$B,2,FALSE)),"",VLOOKUP(AJ230,設置場所!$A:$B,2,FALSE))</f>
        <v>900009002</v>
      </c>
      <c r="AJ230" s="101" t="s">
        <v>2194</v>
      </c>
      <c r="AK230" s="101" t="s">
        <v>1331</v>
      </c>
      <c r="AL230" s="101" t="s">
        <v>1336</v>
      </c>
      <c r="AM230" s="101"/>
      <c r="AN230" s="101"/>
      <c r="AO230" s="101"/>
      <c r="AP230" s="101"/>
      <c r="AQ230" s="101"/>
      <c r="AR230" s="105"/>
      <c r="AS230" s="171"/>
    </row>
    <row r="231" spans="1:45">
      <c r="A231" s="131" t="s">
        <v>1224</v>
      </c>
      <c r="B231" s="156" t="s">
        <v>1337</v>
      </c>
      <c r="C231" s="156" t="s">
        <v>1320</v>
      </c>
      <c r="D231" s="156" t="s">
        <v>1578</v>
      </c>
      <c r="E231" s="156"/>
      <c r="F231" s="156" t="s">
        <v>1890</v>
      </c>
      <c r="G231" s="157">
        <v>43437</v>
      </c>
      <c r="H231" s="158" t="s">
        <v>1924</v>
      </c>
      <c r="I231" s="158" t="s">
        <v>2025</v>
      </c>
      <c r="J231" s="156" t="s">
        <v>2149</v>
      </c>
      <c r="K231" s="156" t="s">
        <v>2164</v>
      </c>
      <c r="L231" s="156" t="s">
        <v>2168</v>
      </c>
      <c r="M231" s="156">
        <v>2</v>
      </c>
      <c r="N231" s="159">
        <v>1300000</v>
      </c>
      <c r="O231" s="160">
        <v>1</v>
      </c>
      <c r="P231" s="160">
        <v>1</v>
      </c>
      <c r="Q231" s="160">
        <v>0</v>
      </c>
      <c r="R231" s="159">
        <v>1</v>
      </c>
      <c r="S231" s="114"/>
      <c r="T231" s="114"/>
      <c r="U231" s="161">
        <v>0</v>
      </c>
      <c r="V231" s="158" t="s">
        <v>852</v>
      </c>
      <c r="W231" s="158" t="s">
        <v>627</v>
      </c>
      <c r="X231" s="158" t="s">
        <v>2169</v>
      </c>
      <c r="Y231" s="162" t="s">
        <v>2188</v>
      </c>
      <c r="Z231" s="163" t="s">
        <v>2194</v>
      </c>
      <c r="AA231" s="163">
        <v>1</v>
      </c>
      <c r="AB231" s="163">
        <v>4</v>
      </c>
      <c r="AC231" s="101">
        <v>1</v>
      </c>
      <c r="AD231" s="101">
        <v>4</v>
      </c>
      <c r="AE231" s="101" t="s">
        <v>2201</v>
      </c>
      <c r="AF231" s="102" t="str">
        <f>IF(ISERROR(VLOOKUP(AE231,小分類・セグメント!$A:$C,3,FALSE)),"",VLOOKUP(AE231,小分類・セグメント!$A:$C,3,FALSE))</f>
        <v>ECD</v>
      </c>
      <c r="AG231" s="103" t="str">
        <f>IF(ISERROR(VLOOKUP(AE231,小細分類・事業部マスタ!$E:$H,4,FALSE)),"",VLOOKUP(AE231,小細分類・事業部マスタ!$E:$H,4,FALSE))</f>
        <v>パワーデバイス事業部</v>
      </c>
      <c r="AH231" s="101" t="s">
        <v>2169</v>
      </c>
      <c r="AI231" s="104">
        <f>IF(ISERROR(VLOOKUP(AJ231,設置場所!$A:$B,2,FALSE)),"",VLOOKUP(AJ231,設置場所!$A:$B,2,FALSE))</f>
        <v>900009002</v>
      </c>
      <c r="AJ231" s="101" t="s">
        <v>2194</v>
      </c>
      <c r="AK231" s="101" t="s">
        <v>1331</v>
      </c>
      <c r="AL231" s="101" t="s">
        <v>1336</v>
      </c>
      <c r="AM231" s="101"/>
      <c r="AN231" s="101"/>
      <c r="AO231" s="101"/>
      <c r="AP231" s="101"/>
      <c r="AQ231" s="101"/>
      <c r="AR231" s="105"/>
      <c r="AS231" s="171"/>
    </row>
    <row r="232" spans="1:45">
      <c r="A232" s="131" t="s">
        <v>1224</v>
      </c>
      <c r="B232" s="156" t="s">
        <v>1337</v>
      </c>
      <c r="C232" s="156" t="s">
        <v>1320</v>
      </c>
      <c r="D232" s="156" t="s">
        <v>1579</v>
      </c>
      <c r="E232" s="156"/>
      <c r="F232" s="156" t="s">
        <v>1891</v>
      </c>
      <c r="G232" s="157">
        <v>43437</v>
      </c>
      <c r="H232" s="158" t="s">
        <v>1924</v>
      </c>
      <c r="I232" s="158" t="s">
        <v>2025</v>
      </c>
      <c r="J232" s="156" t="s">
        <v>2149</v>
      </c>
      <c r="K232" s="156" t="s">
        <v>2164</v>
      </c>
      <c r="L232" s="156" t="s">
        <v>2168</v>
      </c>
      <c r="M232" s="156">
        <v>2</v>
      </c>
      <c r="N232" s="159">
        <v>1300000</v>
      </c>
      <c r="O232" s="160">
        <v>1</v>
      </c>
      <c r="P232" s="160">
        <v>1</v>
      </c>
      <c r="Q232" s="160">
        <v>0</v>
      </c>
      <c r="R232" s="159">
        <v>1</v>
      </c>
      <c r="S232" s="114"/>
      <c r="T232" s="114"/>
      <c r="U232" s="161">
        <v>0</v>
      </c>
      <c r="V232" s="158" t="s">
        <v>852</v>
      </c>
      <c r="W232" s="158" t="s">
        <v>627</v>
      </c>
      <c r="X232" s="158" t="s">
        <v>2169</v>
      </c>
      <c r="Y232" s="162" t="s">
        <v>2188</v>
      </c>
      <c r="Z232" s="163" t="s">
        <v>2194</v>
      </c>
      <c r="AA232" s="163">
        <v>1</v>
      </c>
      <c r="AB232" s="163">
        <v>4</v>
      </c>
      <c r="AC232" s="101">
        <v>1</v>
      </c>
      <c r="AD232" s="101">
        <v>4</v>
      </c>
      <c r="AE232" s="101" t="s">
        <v>2201</v>
      </c>
      <c r="AF232" s="102" t="str">
        <f>IF(ISERROR(VLOOKUP(AE232,小分類・セグメント!$A:$C,3,FALSE)),"",VLOOKUP(AE232,小分類・セグメント!$A:$C,3,FALSE))</f>
        <v>ECD</v>
      </c>
      <c r="AG232" s="103" t="str">
        <f>IF(ISERROR(VLOOKUP(AE232,小細分類・事業部マスタ!$E:$H,4,FALSE)),"",VLOOKUP(AE232,小細分類・事業部マスタ!$E:$H,4,FALSE))</f>
        <v>パワーデバイス事業部</v>
      </c>
      <c r="AH232" s="101" t="s">
        <v>2169</v>
      </c>
      <c r="AI232" s="104">
        <f>IF(ISERROR(VLOOKUP(AJ232,設置場所!$A:$B,2,FALSE)),"",VLOOKUP(AJ232,設置場所!$A:$B,2,FALSE))</f>
        <v>900009002</v>
      </c>
      <c r="AJ232" s="101" t="s">
        <v>2194</v>
      </c>
      <c r="AK232" s="101" t="s">
        <v>1331</v>
      </c>
      <c r="AL232" s="101" t="s">
        <v>1336</v>
      </c>
      <c r="AM232" s="101"/>
      <c r="AN232" s="101"/>
      <c r="AO232" s="101"/>
      <c r="AP232" s="101"/>
      <c r="AQ232" s="101"/>
      <c r="AR232" s="105"/>
      <c r="AS232" s="171"/>
    </row>
    <row r="233" spans="1:45">
      <c r="A233" s="131" t="s">
        <v>1224</v>
      </c>
      <c r="B233" s="156" t="s">
        <v>1337</v>
      </c>
      <c r="C233" s="156" t="s">
        <v>1320</v>
      </c>
      <c r="D233" s="156" t="s">
        <v>1580</v>
      </c>
      <c r="E233" s="156"/>
      <c r="F233" s="156" t="s">
        <v>1892</v>
      </c>
      <c r="G233" s="157">
        <v>43609</v>
      </c>
      <c r="H233" s="158" t="s">
        <v>1950</v>
      </c>
      <c r="I233" s="158" t="s">
        <v>2048</v>
      </c>
      <c r="J233" s="156" t="s">
        <v>2148</v>
      </c>
      <c r="K233" s="156" t="s">
        <v>2163</v>
      </c>
      <c r="L233" s="156" t="s">
        <v>2168</v>
      </c>
      <c r="M233" s="156">
        <v>2</v>
      </c>
      <c r="N233" s="159">
        <v>363000</v>
      </c>
      <c r="O233" s="160">
        <v>1</v>
      </c>
      <c r="P233" s="160">
        <v>1</v>
      </c>
      <c r="Q233" s="160">
        <v>0</v>
      </c>
      <c r="R233" s="159">
        <v>1</v>
      </c>
      <c r="S233" s="114"/>
      <c r="T233" s="114"/>
      <c r="U233" s="161">
        <v>0</v>
      </c>
      <c r="V233" s="158" t="s">
        <v>852</v>
      </c>
      <c r="W233" s="158" t="s">
        <v>627</v>
      </c>
      <c r="X233" s="158" t="s">
        <v>2183</v>
      </c>
      <c r="Y233" s="162" t="s">
        <v>2190</v>
      </c>
      <c r="Z233" s="163" t="s">
        <v>2196</v>
      </c>
      <c r="AA233" s="163">
        <v>1</v>
      </c>
      <c r="AB233" s="163">
        <v>1</v>
      </c>
      <c r="AC233" s="101">
        <v>1</v>
      </c>
      <c r="AD233" s="101">
        <v>1</v>
      </c>
      <c r="AE233" s="101" t="s">
        <v>2201</v>
      </c>
      <c r="AF233" s="102" t="str">
        <f>IF(ISERROR(VLOOKUP(AE233,小分類・セグメント!$A:$C,3,FALSE)),"",VLOOKUP(AE233,小分類・セグメント!$A:$C,3,FALSE))</f>
        <v>ECD</v>
      </c>
      <c r="AG233" s="103" t="str">
        <f>IF(ISERROR(VLOOKUP(AE233,小細分類・事業部マスタ!$E:$H,4,FALSE)),"",VLOOKUP(AE233,小細分類・事業部マスタ!$E:$H,4,FALSE))</f>
        <v>パワーデバイス事業部</v>
      </c>
      <c r="AH233" s="101" t="s">
        <v>2183</v>
      </c>
      <c r="AI233" s="104">
        <f>IF(ISERROR(VLOOKUP(AJ233,設置場所!$A:$B,2,FALSE)),"",VLOOKUP(AJ233,設置場所!$A:$B,2,FALSE))</f>
        <v>900002001</v>
      </c>
      <c r="AJ233" s="101" t="s">
        <v>2196</v>
      </c>
      <c r="AK233" s="101" t="s">
        <v>1331</v>
      </c>
      <c r="AL233" s="101" t="s">
        <v>1336</v>
      </c>
      <c r="AM233" s="101"/>
      <c r="AN233" s="101"/>
      <c r="AO233" s="101"/>
      <c r="AP233" s="101"/>
      <c r="AQ233" s="101"/>
      <c r="AR233" s="105"/>
      <c r="AS233" s="171"/>
    </row>
    <row r="234" spans="1:45">
      <c r="A234" s="131" t="s">
        <v>1224</v>
      </c>
      <c r="B234" s="156" t="s">
        <v>1337</v>
      </c>
      <c r="C234" s="156" t="s">
        <v>1320</v>
      </c>
      <c r="D234" s="156" t="s">
        <v>1581</v>
      </c>
      <c r="E234" s="156"/>
      <c r="F234" s="156" t="s">
        <v>1893</v>
      </c>
      <c r="G234" s="157">
        <v>43791</v>
      </c>
      <c r="H234" s="158" t="s">
        <v>1950</v>
      </c>
      <c r="I234" s="158" t="s">
        <v>2124</v>
      </c>
      <c r="J234" s="156" t="s">
        <v>2148</v>
      </c>
      <c r="K234" s="156" t="s">
        <v>2163</v>
      </c>
      <c r="L234" s="156" t="s">
        <v>2168</v>
      </c>
      <c r="M234" s="156">
        <v>2</v>
      </c>
      <c r="N234" s="159">
        <v>361000</v>
      </c>
      <c r="O234" s="160">
        <v>1</v>
      </c>
      <c r="P234" s="160">
        <v>1</v>
      </c>
      <c r="Q234" s="160">
        <v>0</v>
      </c>
      <c r="R234" s="159">
        <v>1</v>
      </c>
      <c r="S234" s="114"/>
      <c r="T234" s="114"/>
      <c r="U234" s="161">
        <v>0</v>
      </c>
      <c r="V234" s="158" t="s">
        <v>852</v>
      </c>
      <c r="W234" s="158" t="s">
        <v>627</v>
      </c>
      <c r="X234" s="158" t="s">
        <v>2183</v>
      </c>
      <c r="Y234" s="162" t="s">
        <v>2190</v>
      </c>
      <c r="Z234" s="163" t="s">
        <v>2196</v>
      </c>
      <c r="AA234" s="163">
        <v>1</v>
      </c>
      <c r="AB234" s="163">
        <v>1</v>
      </c>
      <c r="AC234" s="101">
        <v>1</v>
      </c>
      <c r="AD234" s="101">
        <v>1</v>
      </c>
      <c r="AE234" s="101" t="s">
        <v>2201</v>
      </c>
      <c r="AF234" s="102" t="str">
        <f>IF(ISERROR(VLOOKUP(AE234,小分類・セグメント!$A:$C,3,FALSE)),"",VLOOKUP(AE234,小分類・セグメント!$A:$C,3,FALSE))</f>
        <v>ECD</v>
      </c>
      <c r="AG234" s="103" t="str">
        <f>IF(ISERROR(VLOOKUP(AE234,小細分類・事業部マスタ!$E:$H,4,FALSE)),"",VLOOKUP(AE234,小細分類・事業部マスタ!$E:$H,4,FALSE))</f>
        <v>パワーデバイス事業部</v>
      </c>
      <c r="AH234" s="101" t="s">
        <v>2183</v>
      </c>
      <c r="AI234" s="104">
        <f>IF(ISERROR(VLOOKUP(AJ234,設置場所!$A:$B,2,FALSE)),"",VLOOKUP(AJ234,設置場所!$A:$B,2,FALSE))</f>
        <v>900002001</v>
      </c>
      <c r="AJ234" s="101" t="s">
        <v>2196</v>
      </c>
      <c r="AK234" s="101" t="s">
        <v>1331</v>
      </c>
      <c r="AL234" s="101" t="s">
        <v>1336</v>
      </c>
      <c r="AM234" s="101"/>
      <c r="AN234" s="101"/>
      <c r="AO234" s="101"/>
      <c r="AP234" s="101"/>
      <c r="AQ234" s="101"/>
      <c r="AR234" s="105"/>
      <c r="AS234" s="171"/>
    </row>
    <row r="235" spans="1:45">
      <c r="A235" s="131" t="s">
        <v>1224</v>
      </c>
      <c r="B235" s="156" t="s">
        <v>1337</v>
      </c>
      <c r="C235" s="156" t="s">
        <v>1320</v>
      </c>
      <c r="D235" s="156" t="s">
        <v>1582</v>
      </c>
      <c r="E235" s="156"/>
      <c r="F235" s="156" t="s">
        <v>1894</v>
      </c>
      <c r="G235" s="157">
        <v>44926</v>
      </c>
      <c r="H235" s="158" t="s">
        <v>1910</v>
      </c>
      <c r="I235" s="158" t="s">
        <v>2125</v>
      </c>
      <c r="J235" s="156" t="s">
        <v>2137</v>
      </c>
      <c r="K235" s="156" t="s">
        <v>2152</v>
      </c>
      <c r="L235" s="156" t="s">
        <v>2168</v>
      </c>
      <c r="M235" s="156">
        <v>10</v>
      </c>
      <c r="N235" s="159">
        <v>630000</v>
      </c>
      <c r="O235" s="160">
        <v>1</v>
      </c>
      <c r="P235" s="160">
        <v>588000</v>
      </c>
      <c r="Q235" s="160">
        <v>9800</v>
      </c>
      <c r="R235" s="159">
        <v>558600</v>
      </c>
      <c r="S235" s="114"/>
      <c r="T235" s="114"/>
      <c r="U235" s="161">
        <v>0</v>
      </c>
      <c r="V235" s="158" t="s">
        <v>852</v>
      </c>
      <c r="W235" s="158" t="s">
        <v>627</v>
      </c>
      <c r="X235" s="158" t="s">
        <v>2171</v>
      </c>
      <c r="Y235" s="162" t="s">
        <v>2186</v>
      </c>
      <c r="Z235" s="163" t="s">
        <v>2192</v>
      </c>
      <c r="AA235" s="163">
        <v>1</v>
      </c>
      <c r="AB235" s="163">
        <v>1</v>
      </c>
      <c r="AC235" s="101">
        <v>1</v>
      </c>
      <c r="AD235" s="101">
        <v>1</v>
      </c>
      <c r="AE235" s="101" t="s">
        <v>2201</v>
      </c>
      <c r="AF235" s="102" t="str">
        <f>IF(ISERROR(VLOOKUP(AE235,小分類・セグメント!$A:$C,3,FALSE)),"",VLOOKUP(AE235,小分類・セグメント!$A:$C,3,FALSE))</f>
        <v>ECD</v>
      </c>
      <c r="AG235" s="103" t="str">
        <f>IF(ISERROR(VLOOKUP(AE235,小細分類・事業部マスタ!$E:$H,4,FALSE)),"",VLOOKUP(AE235,小細分類・事業部マスタ!$E:$H,4,FALSE))</f>
        <v>パワーデバイス事業部</v>
      </c>
      <c r="AH235" s="101" t="s">
        <v>2171</v>
      </c>
      <c r="AI235" s="104">
        <f>IF(ISERROR(VLOOKUP(AJ235,設置場所!$A:$B,2,FALSE)),"",VLOOKUP(AJ235,設置場所!$A:$B,2,FALSE))</f>
        <v>900000040</v>
      </c>
      <c r="AJ235" s="101" t="s">
        <v>2192</v>
      </c>
      <c r="AK235" s="101" t="s">
        <v>1331</v>
      </c>
      <c r="AL235" s="101" t="s">
        <v>1336</v>
      </c>
      <c r="AM235" s="101"/>
      <c r="AN235" s="101"/>
      <c r="AO235" s="101"/>
      <c r="AP235" s="101"/>
      <c r="AQ235" s="101"/>
      <c r="AR235" s="105"/>
      <c r="AS235" s="171"/>
    </row>
    <row r="236" spans="1:45">
      <c r="A236" s="131" t="s">
        <v>1224</v>
      </c>
      <c r="B236" s="156" t="s">
        <v>1337</v>
      </c>
      <c r="C236" s="156" t="s">
        <v>1320</v>
      </c>
      <c r="D236" s="156" t="s">
        <v>1583</v>
      </c>
      <c r="E236" s="156" t="s">
        <v>1671</v>
      </c>
      <c r="F236" s="156" t="s">
        <v>1895</v>
      </c>
      <c r="G236" s="157">
        <v>37956</v>
      </c>
      <c r="H236" s="158" t="s">
        <v>1918</v>
      </c>
      <c r="I236" s="158"/>
      <c r="J236" s="156" t="s">
        <v>2137</v>
      </c>
      <c r="K236" s="156" t="s">
        <v>2152</v>
      </c>
      <c r="L236" s="156" t="s">
        <v>2166</v>
      </c>
      <c r="M236" s="156">
        <v>5</v>
      </c>
      <c r="N236" s="159">
        <v>400000</v>
      </c>
      <c r="O236" s="160">
        <v>1</v>
      </c>
      <c r="P236" s="160">
        <v>1</v>
      </c>
      <c r="Q236" s="160">
        <v>0</v>
      </c>
      <c r="R236" s="159">
        <v>1</v>
      </c>
      <c r="S236" s="114"/>
      <c r="T236" s="114"/>
      <c r="U236" s="161">
        <v>0</v>
      </c>
      <c r="V236" s="158" t="s">
        <v>852</v>
      </c>
      <c r="W236" s="158" t="s">
        <v>627</v>
      </c>
      <c r="X236" s="158"/>
      <c r="Y236" s="162" t="s">
        <v>2186</v>
      </c>
      <c r="Z236" s="163" t="s">
        <v>2192</v>
      </c>
      <c r="AA236" s="163">
        <v>1</v>
      </c>
      <c r="AB236" s="163">
        <v>1</v>
      </c>
      <c r="AC236" s="101">
        <v>1</v>
      </c>
      <c r="AD236" s="101">
        <v>1</v>
      </c>
      <c r="AE236" s="101" t="s">
        <v>2201</v>
      </c>
      <c r="AF236" s="102" t="str">
        <f>IF(ISERROR(VLOOKUP(AE236,小分類・セグメント!$A:$C,3,FALSE)),"",VLOOKUP(AE236,小分類・セグメント!$A:$C,3,FALSE))</f>
        <v>ECD</v>
      </c>
      <c r="AG236" s="103" t="str">
        <f>IF(ISERROR(VLOOKUP(AE236,小細分類・事業部マスタ!$E:$H,4,FALSE)),"",VLOOKUP(AE236,小細分類・事業部マスタ!$E:$H,4,FALSE))</f>
        <v>パワーデバイス事業部</v>
      </c>
      <c r="AH236" s="101" t="s">
        <v>2171</v>
      </c>
      <c r="AI236" s="104">
        <f>IF(ISERROR(VLOOKUP(AJ236,設置場所!$A:$B,2,FALSE)),"",VLOOKUP(AJ236,設置場所!$A:$B,2,FALSE))</f>
        <v>900000040</v>
      </c>
      <c r="AJ236" s="101" t="s">
        <v>2192</v>
      </c>
      <c r="AK236" s="101" t="s">
        <v>1331</v>
      </c>
      <c r="AL236" s="101" t="s">
        <v>1336</v>
      </c>
      <c r="AM236" s="101"/>
      <c r="AN236" s="101"/>
      <c r="AO236" s="101"/>
      <c r="AP236" s="101"/>
      <c r="AQ236" s="101"/>
      <c r="AR236" s="105"/>
      <c r="AS236" s="171"/>
    </row>
    <row r="237" spans="1:45">
      <c r="A237" s="131" t="s">
        <v>1224</v>
      </c>
      <c r="B237" s="156" t="s">
        <v>1337</v>
      </c>
      <c r="C237" s="156" t="s">
        <v>1320</v>
      </c>
      <c r="D237" s="156" t="s">
        <v>1584</v>
      </c>
      <c r="E237" s="156" t="s">
        <v>1672</v>
      </c>
      <c r="F237" s="156" t="s">
        <v>1896</v>
      </c>
      <c r="G237" s="157">
        <v>38108</v>
      </c>
      <c r="H237" s="158" t="s">
        <v>1918</v>
      </c>
      <c r="I237" s="158"/>
      <c r="J237" s="156" t="s">
        <v>2137</v>
      </c>
      <c r="K237" s="156" t="s">
        <v>2152</v>
      </c>
      <c r="L237" s="156" t="s">
        <v>2166</v>
      </c>
      <c r="M237" s="156">
        <v>5</v>
      </c>
      <c r="N237" s="159">
        <v>351000</v>
      </c>
      <c r="O237" s="160">
        <v>1</v>
      </c>
      <c r="P237" s="160">
        <v>1</v>
      </c>
      <c r="Q237" s="160">
        <v>0</v>
      </c>
      <c r="R237" s="159">
        <v>1</v>
      </c>
      <c r="S237" s="114"/>
      <c r="T237" s="114"/>
      <c r="U237" s="161">
        <v>0</v>
      </c>
      <c r="V237" s="158" t="s">
        <v>852</v>
      </c>
      <c r="W237" s="158" t="s">
        <v>627</v>
      </c>
      <c r="X237" s="158"/>
      <c r="Y237" s="162" t="s">
        <v>2186</v>
      </c>
      <c r="Z237" s="163" t="s">
        <v>2192</v>
      </c>
      <c r="AA237" s="163">
        <v>1</v>
      </c>
      <c r="AB237" s="163">
        <v>1</v>
      </c>
      <c r="AC237" s="101">
        <v>1</v>
      </c>
      <c r="AD237" s="101">
        <v>1</v>
      </c>
      <c r="AE237" s="101" t="s">
        <v>2201</v>
      </c>
      <c r="AF237" s="102" t="str">
        <f>IF(ISERROR(VLOOKUP(AE237,小分類・セグメント!$A:$C,3,FALSE)),"",VLOOKUP(AE237,小分類・セグメント!$A:$C,3,FALSE))</f>
        <v>ECD</v>
      </c>
      <c r="AG237" s="103" t="str">
        <f>IF(ISERROR(VLOOKUP(AE237,小細分類・事業部マスタ!$E:$H,4,FALSE)),"",VLOOKUP(AE237,小細分類・事業部マスタ!$E:$H,4,FALSE))</f>
        <v>パワーデバイス事業部</v>
      </c>
      <c r="AH237" s="101" t="s">
        <v>2171</v>
      </c>
      <c r="AI237" s="104">
        <f>IF(ISERROR(VLOOKUP(AJ237,設置場所!$A:$B,2,FALSE)),"",VLOOKUP(AJ237,設置場所!$A:$B,2,FALSE))</f>
        <v>900000040</v>
      </c>
      <c r="AJ237" s="101" t="s">
        <v>2192</v>
      </c>
      <c r="AK237" s="101" t="s">
        <v>1331</v>
      </c>
      <c r="AL237" s="101" t="s">
        <v>1336</v>
      </c>
      <c r="AM237" s="101"/>
      <c r="AN237" s="101"/>
      <c r="AO237" s="101"/>
      <c r="AP237" s="101"/>
      <c r="AQ237" s="101"/>
      <c r="AR237" s="105"/>
      <c r="AS237" s="171"/>
    </row>
    <row r="238" spans="1:45">
      <c r="A238" s="131" t="s">
        <v>1224</v>
      </c>
      <c r="B238" s="156" t="s">
        <v>1337</v>
      </c>
      <c r="C238" s="156" t="s">
        <v>1320</v>
      </c>
      <c r="D238" s="156" t="s">
        <v>1585</v>
      </c>
      <c r="E238" s="156" t="s">
        <v>1673</v>
      </c>
      <c r="F238" s="156" t="s">
        <v>1897</v>
      </c>
      <c r="G238" s="157">
        <v>38322</v>
      </c>
      <c r="H238" s="158" t="s">
        <v>1918</v>
      </c>
      <c r="I238" s="158"/>
      <c r="J238" s="156" t="s">
        <v>2141</v>
      </c>
      <c r="K238" s="156" t="s">
        <v>2156</v>
      </c>
      <c r="L238" s="156" t="s">
        <v>2166</v>
      </c>
      <c r="M238" s="156">
        <v>5</v>
      </c>
      <c r="N238" s="159">
        <v>119700</v>
      </c>
      <c r="O238" s="160">
        <v>1</v>
      </c>
      <c r="P238" s="160">
        <v>1</v>
      </c>
      <c r="Q238" s="160">
        <v>0</v>
      </c>
      <c r="R238" s="159">
        <v>1</v>
      </c>
      <c r="S238" s="114"/>
      <c r="T238" s="114"/>
      <c r="U238" s="161">
        <v>0</v>
      </c>
      <c r="V238" s="158" t="s">
        <v>852</v>
      </c>
      <c r="W238" s="158" t="s">
        <v>627</v>
      </c>
      <c r="X238" s="158" t="s">
        <v>2183</v>
      </c>
      <c r="Y238" s="162" t="s">
        <v>2185</v>
      </c>
      <c r="Z238" s="163" t="s">
        <v>2191</v>
      </c>
      <c r="AA238" s="163">
        <v>1</v>
      </c>
      <c r="AB238" s="163">
        <v>1</v>
      </c>
      <c r="AC238" s="101">
        <v>1</v>
      </c>
      <c r="AD238" s="101">
        <v>1</v>
      </c>
      <c r="AE238" s="101" t="s">
        <v>2201</v>
      </c>
      <c r="AF238" s="102" t="str">
        <f>IF(ISERROR(VLOOKUP(AE238,小分類・セグメント!$A:$C,3,FALSE)),"",VLOOKUP(AE238,小分類・セグメント!$A:$C,3,FALSE))</f>
        <v>ECD</v>
      </c>
      <c r="AG238" s="103" t="str">
        <f>IF(ISERROR(VLOOKUP(AE238,小細分類・事業部マスタ!$E:$H,4,FALSE)),"",VLOOKUP(AE238,小細分類・事業部マスタ!$E:$H,4,FALSE))</f>
        <v>パワーデバイス事業部</v>
      </c>
      <c r="AH238" s="101" t="s">
        <v>2183</v>
      </c>
      <c r="AI238" s="104">
        <f>IF(ISERROR(VLOOKUP(AJ238,設置場所!$A:$B,2,FALSE)),"",VLOOKUP(AJ238,設置場所!$A:$B,2,FALSE))</f>
        <v>900000030</v>
      </c>
      <c r="AJ238" s="101" t="s">
        <v>2191</v>
      </c>
      <c r="AK238" s="101" t="s">
        <v>1331</v>
      </c>
      <c r="AL238" s="101" t="s">
        <v>1336</v>
      </c>
      <c r="AM238" s="101"/>
      <c r="AN238" s="101"/>
      <c r="AO238" s="101"/>
      <c r="AP238" s="101"/>
      <c r="AQ238" s="101"/>
      <c r="AR238" s="105"/>
      <c r="AS238" s="171"/>
    </row>
    <row r="239" spans="1:45">
      <c r="A239" s="131" t="s">
        <v>1224</v>
      </c>
      <c r="B239" s="156" t="s">
        <v>1337</v>
      </c>
      <c r="C239" s="156" t="s">
        <v>1320</v>
      </c>
      <c r="D239" s="156" t="s">
        <v>1586</v>
      </c>
      <c r="E239" s="156" t="s">
        <v>1674</v>
      </c>
      <c r="F239" s="156" t="s">
        <v>1898</v>
      </c>
      <c r="G239" s="157">
        <v>38384</v>
      </c>
      <c r="H239" s="158" t="s">
        <v>1918</v>
      </c>
      <c r="I239" s="158"/>
      <c r="J239" s="156" t="s">
        <v>2137</v>
      </c>
      <c r="K239" s="156" t="s">
        <v>2152</v>
      </c>
      <c r="L239" s="156" t="s">
        <v>2166</v>
      </c>
      <c r="M239" s="156">
        <v>15</v>
      </c>
      <c r="N239" s="159">
        <v>280000</v>
      </c>
      <c r="O239" s="160">
        <v>14000</v>
      </c>
      <c r="P239" s="160">
        <v>17389</v>
      </c>
      <c r="Q239" s="160">
        <v>206</v>
      </c>
      <c r="R239" s="159">
        <v>16772</v>
      </c>
      <c r="S239" s="114"/>
      <c r="T239" s="114"/>
      <c r="U239" s="161">
        <v>0</v>
      </c>
      <c r="V239" s="158" t="s">
        <v>852</v>
      </c>
      <c r="W239" s="158" t="s">
        <v>627</v>
      </c>
      <c r="X239" s="158"/>
      <c r="Y239" s="162" t="s">
        <v>2186</v>
      </c>
      <c r="Z239" s="163" t="s">
        <v>2192</v>
      </c>
      <c r="AA239" s="163">
        <v>1</v>
      </c>
      <c r="AB239" s="163">
        <v>1</v>
      </c>
      <c r="AC239" s="101">
        <v>1</v>
      </c>
      <c r="AD239" s="101">
        <v>1</v>
      </c>
      <c r="AE239" s="101" t="s">
        <v>2201</v>
      </c>
      <c r="AF239" s="102" t="str">
        <f>IF(ISERROR(VLOOKUP(AE239,小分類・セグメント!$A:$C,3,FALSE)),"",VLOOKUP(AE239,小分類・セグメント!$A:$C,3,FALSE))</f>
        <v>ECD</v>
      </c>
      <c r="AG239" s="103" t="str">
        <f>IF(ISERROR(VLOOKUP(AE239,小細分類・事業部マスタ!$E:$H,4,FALSE)),"",VLOOKUP(AE239,小細分類・事業部マスタ!$E:$H,4,FALSE))</f>
        <v>パワーデバイス事業部</v>
      </c>
      <c r="AH239" s="101" t="s">
        <v>2171</v>
      </c>
      <c r="AI239" s="104">
        <f>IF(ISERROR(VLOOKUP(AJ239,設置場所!$A:$B,2,FALSE)),"",VLOOKUP(AJ239,設置場所!$A:$B,2,FALSE))</f>
        <v>900000040</v>
      </c>
      <c r="AJ239" s="101" t="s">
        <v>2192</v>
      </c>
      <c r="AK239" s="101" t="s">
        <v>1331</v>
      </c>
      <c r="AL239" s="101" t="s">
        <v>1336</v>
      </c>
      <c r="AM239" s="101"/>
      <c r="AN239" s="101"/>
      <c r="AO239" s="101"/>
      <c r="AP239" s="101"/>
      <c r="AQ239" s="101"/>
      <c r="AR239" s="105"/>
      <c r="AS239" s="171"/>
    </row>
    <row r="240" spans="1:45">
      <c r="A240" s="131" t="s">
        <v>1224</v>
      </c>
      <c r="B240" s="156" t="s">
        <v>1337</v>
      </c>
      <c r="C240" s="156" t="s">
        <v>1320</v>
      </c>
      <c r="D240" s="156" t="s">
        <v>1587</v>
      </c>
      <c r="E240" s="156" t="s">
        <v>1675</v>
      </c>
      <c r="F240" s="156" t="s">
        <v>1899</v>
      </c>
      <c r="G240" s="157">
        <v>38384</v>
      </c>
      <c r="H240" s="158" t="s">
        <v>1918</v>
      </c>
      <c r="I240" s="158"/>
      <c r="J240" s="156" t="s">
        <v>2137</v>
      </c>
      <c r="K240" s="156" t="s">
        <v>2152</v>
      </c>
      <c r="L240" s="156" t="s">
        <v>2166</v>
      </c>
      <c r="M240" s="156">
        <v>15</v>
      </c>
      <c r="N240" s="159">
        <v>388000</v>
      </c>
      <c r="O240" s="160">
        <v>19400</v>
      </c>
      <c r="P240" s="160">
        <v>24094</v>
      </c>
      <c r="Q240" s="160">
        <v>285</v>
      </c>
      <c r="R240" s="159">
        <v>23239</v>
      </c>
      <c r="S240" s="114"/>
      <c r="T240" s="114"/>
      <c r="U240" s="161">
        <v>0</v>
      </c>
      <c r="V240" s="158" t="s">
        <v>852</v>
      </c>
      <c r="W240" s="158" t="s">
        <v>627</v>
      </c>
      <c r="X240" s="158"/>
      <c r="Y240" s="162" t="s">
        <v>2186</v>
      </c>
      <c r="Z240" s="163" t="s">
        <v>2192</v>
      </c>
      <c r="AA240" s="163">
        <v>1</v>
      </c>
      <c r="AB240" s="163">
        <v>1</v>
      </c>
      <c r="AC240" s="101">
        <v>1</v>
      </c>
      <c r="AD240" s="101">
        <v>1</v>
      </c>
      <c r="AE240" s="101" t="s">
        <v>2201</v>
      </c>
      <c r="AF240" s="102" t="str">
        <f>IF(ISERROR(VLOOKUP(AE240,小分類・セグメント!$A:$C,3,FALSE)),"",VLOOKUP(AE240,小分類・セグメント!$A:$C,3,FALSE))</f>
        <v>ECD</v>
      </c>
      <c r="AG240" s="103" t="str">
        <f>IF(ISERROR(VLOOKUP(AE240,小細分類・事業部マスタ!$E:$H,4,FALSE)),"",VLOOKUP(AE240,小細分類・事業部マスタ!$E:$H,4,FALSE))</f>
        <v>パワーデバイス事業部</v>
      </c>
      <c r="AH240" s="101" t="s">
        <v>2171</v>
      </c>
      <c r="AI240" s="104">
        <f>IF(ISERROR(VLOOKUP(AJ240,設置場所!$A:$B,2,FALSE)),"",VLOOKUP(AJ240,設置場所!$A:$B,2,FALSE))</f>
        <v>900000040</v>
      </c>
      <c r="AJ240" s="101" t="s">
        <v>2192</v>
      </c>
      <c r="AK240" s="101" t="s">
        <v>1331</v>
      </c>
      <c r="AL240" s="101" t="s">
        <v>1336</v>
      </c>
      <c r="AM240" s="101"/>
      <c r="AN240" s="101"/>
      <c r="AO240" s="101"/>
      <c r="AP240" s="101"/>
      <c r="AQ240" s="101"/>
      <c r="AR240" s="105"/>
      <c r="AS240" s="171"/>
    </row>
    <row r="241" spans="1:45">
      <c r="A241" s="131" t="s">
        <v>1224</v>
      </c>
      <c r="B241" s="156" t="s">
        <v>1337</v>
      </c>
      <c r="C241" s="156" t="s">
        <v>1320</v>
      </c>
      <c r="D241" s="156" t="s">
        <v>1588</v>
      </c>
      <c r="E241" s="156" t="s">
        <v>1676</v>
      </c>
      <c r="F241" s="156" t="s">
        <v>1900</v>
      </c>
      <c r="G241" s="157">
        <v>42765</v>
      </c>
      <c r="H241" s="158" t="s">
        <v>1914</v>
      </c>
      <c r="I241" s="158" t="s">
        <v>2126</v>
      </c>
      <c r="J241" s="156" t="s">
        <v>2142</v>
      </c>
      <c r="K241" s="156" t="s">
        <v>2157</v>
      </c>
      <c r="L241" s="156" t="s">
        <v>2168</v>
      </c>
      <c r="M241" s="156">
        <v>10</v>
      </c>
      <c r="N241" s="159">
        <v>255000</v>
      </c>
      <c r="O241" s="160">
        <v>1</v>
      </c>
      <c r="P241" s="160">
        <v>59536</v>
      </c>
      <c r="Q241" s="160">
        <v>1654</v>
      </c>
      <c r="R241" s="159">
        <v>54575</v>
      </c>
      <c r="S241" s="114"/>
      <c r="T241" s="114"/>
      <c r="U241" s="161">
        <v>0</v>
      </c>
      <c r="V241" s="158" t="s">
        <v>852</v>
      </c>
      <c r="W241" s="158" t="s">
        <v>615</v>
      </c>
      <c r="X241" s="158" t="s">
        <v>2169</v>
      </c>
      <c r="Y241" s="162" t="s">
        <v>2185</v>
      </c>
      <c r="Z241" s="163" t="s">
        <v>2191</v>
      </c>
      <c r="AA241" s="163">
        <v>1</v>
      </c>
      <c r="AB241" s="163">
        <v>4</v>
      </c>
      <c r="AC241" s="101">
        <v>1</v>
      </c>
      <c r="AD241" s="101">
        <v>4</v>
      </c>
      <c r="AE241" s="101" t="s">
        <v>2201</v>
      </c>
      <c r="AF241" s="102" t="str">
        <f>IF(ISERROR(VLOOKUP(AE241,小分類・セグメント!$A:$C,3,FALSE)),"",VLOOKUP(AE241,小分類・セグメント!$A:$C,3,FALSE))</f>
        <v>ECD</v>
      </c>
      <c r="AG241" s="103" t="str">
        <f>IF(ISERROR(VLOOKUP(AE241,小細分類・事業部マスタ!$E:$H,4,FALSE)),"",VLOOKUP(AE241,小細分類・事業部マスタ!$E:$H,4,FALSE))</f>
        <v>パワーデバイス事業部</v>
      </c>
      <c r="AH241" s="101" t="s">
        <v>2169</v>
      </c>
      <c r="AI241" s="104">
        <f>IF(ISERROR(VLOOKUP(AJ241,設置場所!$A:$B,2,FALSE)),"",VLOOKUP(AJ241,設置場所!$A:$B,2,FALSE))</f>
        <v>900000030</v>
      </c>
      <c r="AJ241" s="101" t="s">
        <v>2191</v>
      </c>
      <c r="AK241" s="101" t="s">
        <v>1331</v>
      </c>
      <c r="AL241" s="101" t="s">
        <v>1336</v>
      </c>
      <c r="AM241" s="101"/>
      <c r="AN241" s="101"/>
      <c r="AO241" s="101"/>
      <c r="AP241" s="101"/>
      <c r="AQ241" s="101"/>
      <c r="AR241" s="105"/>
      <c r="AS241" s="171"/>
    </row>
    <row r="242" spans="1:45">
      <c r="A242" s="131" t="s">
        <v>1224</v>
      </c>
      <c r="B242" s="156" t="s">
        <v>1337</v>
      </c>
      <c r="C242" s="156" t="s">
        <v>1320</v>
      </c>
      <c r="D242" s="156" t="s">
        <v>1589</v>
      </c>
      <c r="E242" s="100"/>
      <c r="F242" s="156" t="s">
        <v>1901</v>
      </c>
      <c r="G242" s="157">
        <v>42877</v>
      </c>
      <c r="H242" s="158" t="s">
        <v>1951</v>
      </c>
      <c r="I242" s="158" t="s">
        <v>2127</v>
      </c>
      <c r="J242" s="156" t="s">
        <v>2137</v>
      </c>
      <c r="K242" s="156" t="s">
        <v>2152</v>
      </c>
      <c r="L242" s="156" t="s">
        <v>2168</v>
      </c>
      <c r="M242" s="156">
        <v>6</v>
      </c>
      <c r="N242" s="159">
        <v>3878240</v>
      </c>
      <c r="O242" s="160">
        <v>1</v>
      </c>
      <c r="P242" s="160">
        <v>265449</v>
      </c>
      <c r="Q242" s="160">
        <v>22254</v>
      </c>
      <c r="R242" s="159">
        <v>198688</v>
      </c>
      <c r="S242" s="114"/>
      <c r="T242" s="114"/>
      <c r="U242" s="161">
        <v>0</v>
      </c>
      <c r="V242" s="158" t="s">
        <v>852</v>
      </c>
      <c r="W242" s="158" t="s">
        <v>627</v>
      </c>
      <c r="X242" s="158" t="s">
        <v>2184</v>
      </c>
      <c r="Y242" s="162" t="s">
        <v>2186</v>
      </c>
      <c r="Z242" s="163" t="s">
        <v>2192</v>
      </c>
      <c r="AA242" s="163">
        <v>1</v>
      </c>
      <c r="AB242" s="163">
        <v>1</v>
      </c>
      <c r="AC242" s="101">
        <v>1</v>
      </c>
      <c r="AD242" s="101">
        <v>1</v>
      </c>
      <c r="AE242" s="101" t="s">
        <v>2201</v>
      </c>
      <c r="AF242" s="102" t="str">
        <f>IF(ISERROR(VLOOKUP(AE242,小分類・セグメント!$A:$C,3,FALSE)),"",VLOOKUP(AE242,小分類・セグメント!$A:$C,3,FALSE))</f>
        <v>ECD</v>
      </c>
      <c r="AG242" s="103" t="str">
        <f>IF(ISERROR(VLOOKUP(AE242,小細分類・事業部マスタ!$E:$H,4,FALSE)),"",VLOOKUP(AE242,小細分類・事業部マスタ!$E:$H,4,FALSE))</f>
        <v>パワーデバイス事業部</v>
      </c>
      <c r="AH242" s="101" t="s">
        <v>2184</v>
      </c>
      <c r="AI242" s="104">
        <f>IF(ISERROR(VLOOKUP(AJ242,設置場所!$A:$B,2,FALSE)),"",VLOOKUP(AJ242,設置場所!$A:$B,2,FALSE))</f>
        <v>900000040</v>
      </c>
      <c r="AJ242" s="101" t="s">
        <v>2192</v>
      </c>
      <c r="AK242" s="101" t="s">
        <v>1331</v>
      </c>
      <c r="AL242" s="101" t="s">
        <v>1336</v>
      </c>
      <c r="AM242" s="101"/>
      <c r="AN242" s="101"/>
      <c r="AO242" s="101"/>
      <c r="AP242" s="101"/>
      <c r="AQ242" s="101"/>
      <c r="AR242" s="105"/>
      <c r="AS242" s="171"/>
    </row>
    <row r="243" spans="1:45">
      <c r="A243" s="131" t="s">
        <v>1224</v>
      </c>
      <c r="B243" s="156" t="s">
        <v>1337</v>
      </c>
      <c r="C243" s="156" t="s">
        <v>1320</v>
      </c>
      <c r="D243" s="156" t="s">
        <v>1590</v>
      </c>
      <c r="E243" s="100"/>
      <c r="F243" s="156" t="s">
        <v>1902</v>
      </c>
      <c r="G243" s="157">
        <v>42979</v>
      </c>
      <c r="H243" s="158" t="s">
        <v>1943</v>
      </c>
      <c r="I243" s="158" t="s">
        <v>2128</v>
      </c>
      <c r="J243" s="156" t="s">
        <v>2148</v>
      </c>
      <c r="K243" s="156" t="s">
        <v>2163</v>
      </c>
      <c r="L243" s="156" t="s">
        <v>2168</v>
      </c>
      <c r="M243" s="156">
        <v>5</v>
      </c>
      <c r="N243" s="159">
        <v>545000</v>
      </c>
      <c r="O243" s="160">
        <v>1</v>
      </c>
      <c r="P243" s="160">
        <v>1</v>
      </c>
      <c r="Q243" s="160">
        <v>0</v>
      </c>
      <c r="R243" s="159">
        <v>1</v>
      </c>
      <c r="S243" s="114"/>
      <c r="T243" s="114"/>
      <c r="U243" s="161">
        <v>0</v>
      </c>
      <c r="V243" s="158" t="s">
        <v>852</v>
      </c>
      <c r="W243" s="158" t="s">
        <v>627</v>
      </c>
      <c r="X243" s="158" t="s">
        <v>2183</v>
      </c>
      <c r="Y243" s="162" t="s">
        <v>2185</v>
      </c>
      <c r="Z243" s="163" t="s">
        <v>2191</v>
      </c>
      <c r="AA243" s="163">
        <v>1</v>
      </c>
      <c r="AB243" s="163">
        <v>1</v>
      </c>
      <c r="AC243" s="101">
        <v>1</v>
      </c>
      <c r="AD243" s="101">
        <v>1</v>
      </c>
      <c r="AE243" s="101" t="s">
        <v>2201</v>
      </c>
      <c r="AF243" s="102" t="str">
        <f>IF(ISERROR(VLOOKUP(AE243,小分類・セグメント!$A:$C,3,FALSE)),"",VLOOKUP(AE243,小分類・セグメント!$A:$C,3,FALSE))</f>
        <v>ECD</v>
      </c>
      <c r="AG243" s="103" t="str">
        <f>IF(ISERROR(VLOOKUP(AE243,小細分類・事業部マスタ!$E:$H,4,FALSE)),"",VLOOKUP(AE243,小細分類・事業部マスタ!$E:$H,4,FALSE))</f>
        <v>パワーデバイス事業部</v>
      </c>
      <c r="AH243" s="101" t="s">
        <v>2183</v>
      </c>
      <c r="AI243" s="104">
        <f>IF(ISERROR(VLOOKUP(AJ243,設置場所!$A:$B,2,FALSE)),"",VLOOKUP(AJ243,設置場所!$A:$B,2,FALSE))</f>
        <v>900000030</v>
      </c>
      <c r="AJ243" s="101" t="s">
        <v>2191</v>
      </c>
      <c r="AK243" s="101" t="s">
        <v>1331</v>
      </c>
      <c r="AL243" s="101" t="s">
        <v>1336</v>
      </c>
      <c r="AM243" s="101"/>
      <c r="AN243" s="101"/>
      <c r="AO243" s="101"/>
      <c r="AP243" s="101"/>
      <c r="AQ243" s="101"/>
      <c r="AR243" s="105"/>
      <c r="AS243" s="171"/>
    </row>
    <row r="244" spans="1:45">
      <c r="A244" s="131" t="s">
        <v>1224</v>
      </c>
      <c r="B244" s="156" t="s">
        <v>1337</v>
      </c>
      <c r="C244" s="156" t="s">
        <v>1320</v>
      </c>
      <c r="D244" s="156" t="s">
        <v>1591</v>
      </c>
      <c r="E244" s="100"/>
      <c r="F244" s="156" t="s">
        <v>1903</v>
      </c>
      <c r="G244" s="157">
        <v>43019</v>
      </c>
      <c r="H244" s="158" t="s">
        <v>1923</v>
      </c>
      <c r="I244" s="158" t="s">
        <v>2129</v>
      </c>
      <c r="J244" s="156" t="s">
        <v>2144</v>
      </c>
      <c r="K244" s="156" t="s">
        <v>2159</v>
      </c>
      <c r="L244" s="156" t="s">
        <v>2168</v>
      </c>
      <c r="M244" s="156">
        <v>5</v>
      </c>
      <c r="N244" s="159">
        <v>390000</v>
      </c>
      <c r="O244" s="160">
        <v>1</v>
      </c>
      <c r="P244" s="160">
        <v>1</v>
      </c>
      <c r="Q244" s="160">
        <v>0</v>
      </c>
      <c r="R244" s="159">
        <v>1</v>
      </c>
      <c r="S244" s="114"/>
      <c r="T244" s="114"/>
      <c r="U244" s="161">
        <v>0</v>
      </c>
      <c r="V244" s="158" t="s">
        <v>852</v>
      </c>
      <c r="W244" s="158" t="s">
        <v>627</v>
      </c>
      <c r="X244" s="158" t="s">
        <v>2169</v>
      </c>
      <c r="Y244" s="162" t="s">
        <v>2185</v>
      </c>
      <c r="Z244" s="163" t="s">
        <v>2191</v>
      </c>
      <c r="AA244" s="163">
        <v>1</v>
      </c>
      <c r="AB244" s="163">
        <v>1</v>
      </c>
      <c r="AC244" s="101">
        <v>1</v>
      </c>
      <c r="AD244" s="101">
        <v>1</v>
      </c>
      <c r="AE244" s="101" t="s">
        <v>2201</v>
      </c>
      <c r="AF244" s="102" t="str">
        <f>IF(ISERROR(VLOOKUP(AE244,小分類・セグメント!$A:$C,3,FALSE)),"",VLOOKUP(AE244,小分類・セグメント!$A:$C,3,FALSE))</f>
        <v>ECD</v>
      </c>
      <c r="AG244" s="103" t="str">
        <f>IF(ISERROR(VLOOKUP(AE244,小細分類・事業部マスタ!$E:$H,4,FALSE)),"",VLOOKUP(AE244,小細分類・事業部マスタ!$E:$H,4,FALSE))</f>
        <v>パワーデバイス事業部</v>
      </c>
      <c r="AH244" s="101" t="s">
        <v>2169</v>
      </c>
      <c r="AI244" s="104">
        <f>IF(ISERROR(VLOOKUP(AJ244,設置場所!$A:$B,2,FALSE)),"",VLOOKUP(AJ244,設置場所!$A:$B,2,FALSE))</f>
        <v>900000030</v>
      </c>
      <c r="AJ244" s="101" t="s">
        <v>2191</v>
      </c>
      <c r="AK244" s="101" t="s">
        <v>1331</v>
      </c>
      <c r="AL244" s="101" t="s">
        <v>1336</v>
      </c>
      <c r="AM244" s="101"/>
      <c r="AN244" s="101"/>
      <c r="AO244" s="101"/>
      <c r="AP244" s="101"/>
      <c r="AQ244" s="101"/>
      <c r="AR244" s="105"/>
      <c r="AS244" s="171"/>
    </row>
    <row r="245" spans="1:45">
      <c r="A245" s="131" t="s">
        <v>1224</v>
      </c>
      <c r="B245" s="156" t="s">
        <v>1337</v>
      </c>
      <c r="C245" s="156" t="s">
        <v>1320</v>
      </c>
      <c r="D245" s="156" t="s">
        <v>1592</v>
      </c>
      <c r="E245" s="100"/>
      <c r="F245" s="156" t="s">
        <v>1904</v>
      </c>
      <c r="G245" s="157">
        <v>43082</v>
      </c>
      <c r="H245" s="158" t="s">
        <v>1944</v>
      </c>
      <c r="I245" s="158" t="s">
        <v>2130</v>
      </c>
      <c r="J245" s="156" t="s">
        <v>2138</v>
      </c>
      <c r="K245" s="156" t="s">
        <v>2153</v>
      </c>
      <c r="L245" s="156" t="s">
        <v>2168</v>
      </c>
      <c r="M245" s="156">
        <v>5</v>
      </c>
      <c r="N245" s="159">
        <v>4500000</v>
      </c>
      <c r="O245" s="160">
        <v>1</v>
      </c>
      <c r="P245" s="160">
        <v>1</v>
      </c>
      <c r="Q245" s="160">
        <v>0</v>
      </c>
      <c r="R245" s="159">
        <v>1</v>
      </c>
      <c r="S245" s="114"/>
      <c r="T245" s="114"/>
      <c r="U245" s="161">
        <v>0</v>
      </c>
      <c r="V245" s="158" t="s">
        <v>852</v>
      </c>
      <c r="W245" s="158" t="s">
        <v>627</v>
      </c>
      <c r="X245" s="158" t="s">
        <v>2169</v>
      </c>
      <c r="Y245" s="162" t="s">
        <v>2185</v>
      </c>
      <c r="Z245" s="163" t="s">
        <v>2191</v>
      </c>
      <c r="AA245" s="163">
        <v>1</v>
      </c>
      <c r="AB245" s="163">
        <v>1</v>
      </c>
      <c r="AC245" s="101">
        <v>1</v>
      </c>
      <c r="AD245" s="101">
        <v>1</v>
      </c>
      <c r="AE245" s="101" t="s">
        <v>2201</v>
      </c>
      <c r="AF245" s="102" t="str">
        <f>IF(ISERROR(VLOOKUP(AE245,小分類・セグメント!$A:$C,3,FALSE)),"",VLOOKUP(AE245,小分類・セグメント!$A:$C,3,FALSE))</f>
        <v>ECD</v>
      </c>
      <c r="AG245" s="103" t="str">
        <f>IF(ISERROR(VLOOKUP(AE245,小細分類・事業部マスタ!$E:$H,4,FALSE)),"",VLOOKUP(AE245,小細分類・事業部マスタ!$E:$H,4,FALSE))</f>
        <v>パワーデバイス事業部</v>
      </c>
      <c r="AH245" s="101" t="s">
        <v>2169</v>
      </c>
      <c r="AI245" s="104">
        <f>IF(ISERROR(VLOOKUP(AJ245,設置場所!$A:$B,2,FALSE)),"",VLOOKUP(AJ245,設置場所!$A:$B,2,FALSE))</f>
        <v>900000030</v>
      </c>
      <c r="AJ245" s="101" t="s">
        <v>2191</v>
      </c>
      <c r="AK245" s="101" t="s">
        <v>1331</v>
      </c>
      <c r="AL245" s="101" t="s">
        <v>1336</v>
      </c>
      <c r="AM245" s="101"/>
      <c r="AN245" s="101"/>
      <c r="AO245" s="101"/>
      <c r="AP245" s="101"/>
      <c r="AQ245" s="101"/>
      <c r="AR245" s="105"/>
      <c r="AS245" s="171"/>
    </row>
    <row r="246" spans="1:45">
      <c r="A246" s="131" t="s">
        <v>1224</v>
      </c>
      <c r="B246" s="156" t="s">
        <v>1337</v>
      </c>
      <c r="C246" s="156" t="s">
        <v>1320</v>
      </c>
      <c r="D246" s="156" t="s">
        <v>1593</v>
      </c>
      <c r="E246" s="100"/>
      <c r="F246" s="156" t="s">
        <v>1905</v>
      </c>
      <c r="G246" s="157">
        <v>43738</v>
      </c>
      <c r="H246" s="158" t="s">
        <v>1939</v>
      </c>
      <c r="I246" s="158" t="s">
        <v>2131</v>
      </c>
      <c r="J246" s="156" t="s">
        <v>2137</v>
      </c>
      <c r="K246" s="156" t="s">
        <v>2152</v>
      </c>
      <c r="L246" s="156" t="s">
        <v>2168</v>
      </c>
      <c r="M246" s="156">
        <v>5</v>
      </c>
      <c r="N246" s="159">
        <v>300000</v>
      </c>
      <c r="O246" s="160">
        <v>1</v>
      </c>
      <c r="P246" s="160">
        <v>49680</v>
      </c>
      <c r="Q246" s="160">
        <v>2070</v>
      </c>
      <c r="R246" s="159">
        <v>43470</v>
      </c>
      <c r="S246" s="114"/>
      <c r="T246" s="114"/>
      <c r="U246" s="161">
        <v>0</v>
      </c>
      <c r="V246" s="158" t="s">
        <v>852</v>
      </c>
      <c r="W246" s="158" t="s">
        <v>627</v>
      </c>
      <c r="X246" s="158" t="s">
        <v>2171</v>
      </c>
      <c r="Y246" s="162" t="s">
        <v>2185</v>
      </c>
      <c r="Z246" s="163" t="s">
        <v>2191</v>
      </c>
      <c r="AA246" s="163">
        <v>1</v>
      </c>
      <c r="AB246" s="163">
        <v>1</v>
      </c>
      <c r="AC246" s="101">
        <v>1</v>
      </c>
      <c r="AD246" s="101">
        <v>1</v>
      </c>
      <c r="AE246" s="101" t="s">
        <v>2201</v>
      </c>
      <c r="AF246" s="102" t="str">
        <f>IF(ISERROR(VLOOKUP(AE246,小分類・セグメント!$A:$C,3,FALSE)),"",VLOOKUP(AE246,小分類・セグメント!$A:$C,3,FALSE))</f>
        <v>ECD</v>
      </c>
      <c r="AG246" s="103" t="str">
        <f>IF(ISERROR(VLOOKUP(AE246,小細分類・事業部マスタ!$E:$H,4,FALSE)),"",VLOOKUP(AE246,小細分類・事業部マスタ!$E:$H,4,FALSE))</f>
        <v>パワーデバイス事業部</v>
      </c>
      <c r="AH246" s="101" t="s">
        <v>2171</v>
      </c>
      <c r="AI246" s="104">
        <f>IF(ISERROR(VLOOKUP(AJ246,設置場所!$A:$B,2,FALSE)),"",VLOOKUP(AJ246,設置場所!$A:$B,2,FALSE))</f>
        <v>900000030</v>
      </c>
      <c r="AJ246" s="101" t="s">
        <v>2191</v>
      </c>
      <c r="AK246" s="101" t="s">
        <v>1331</v>
      </c>
      <c r="AL246" s="101" t="s">
        <v>1336</v>
      </c>
      <c r="AM246" s="101"/>
      <c r="AN246" s="101"/>
      <c r="AO246" s="101"/>
      <c r="AP246" s="101"/>
      <c r="AQ246" s="101"/>
      <c r="AR246" s="105"/>
      <c r="AS246" s="171"/>
    </row>
    <row r="247" spans="1:45">
      <c r="A247" s="131" t="s">
        <v>1224</v>
      </c>
      <c r="B247" s="156" t="s">
        <v>1337</v>
      </c>
      <c r="C247" s="156" t="s">
        <v>1320</v>
      </c>
      <c r="D247" s="156" t="s">
        <v>1594</v>
      </c>
      <c r="E247" s="100"/>
      <c r="F247" s="156" t="s">
        <v>1906</v>
      </c>
      <c r="G247" s="157">
        <v>43780</v>
      </c>
      <c r="H247" s="158" t="s">
        <v>1952</v>
      </c>
      <c r="I247" s="158" t="s">
        <v>2132</v>
      </c>
      <c r="J247" s="156" t="s">
        <v>2146</v>
      </c>
      <c r="K247" s="156" t="s">
        <v>2161</v>
      </c>
      <c r="L247" s="156" t="s">
        <v>2168</v>
      </c>
      <c r="M247" s="156">
        <v>5</v>
      </c>
      <c r="N247" s="159">
        <v>545000</v>
      </c>
      <c r="O247" s="160">
        <v>1</v>
      </c>
      <c r="P247" s="160">
        <v>98101</v>
      </c>
      <c r="Q247" s="160">
        <v>4087</v>
      </c>
      <c r="R247" s="159">
        <v>85839</v>
      </c>
      <c r="S247" s="114"/>
      <c r="T247" s="114"/>
      <c r="U247" s="161">
        <v>0</v>
      </c>
      <c r="V247" s="158" t="s">
        <v>852</v>
      </c>
      <c r="W247" s="158" t="s">
        <v>627</v>
      </c>
      <c r="X247" s="158" t="s">
        <v>2169</v>
      </c>
      <c r="Y247" s="162" t="s">
        <v>2185</v>
      </c>
      <c r="Z247" s="163" t="s">
        <v>2191</v>
      </c>
      <c r="AA247" s="163">
        <v>1</v>
      </c>
      <c r="AB247" s="163">
        <v>1</v>
      </c>
      <c r="AC247" s="101">
        <v>1</v>
      </c>
      <c r="AD247" s="101">
        <v>1</v>
      </c>
      <c r="AE247" s="101" t="s">
        <v>2201</v>
      </c>
      <c r="AF247" s="102" t="str">
        <f>IF(ISERROR(VLOOKUP(AE247,小分類・セグメント!$A:$C,3,FALSE)),"",VLOOKUP(AE247,小分類・セグメント!$A:$C,3,FALSE))</f>
        <v>ECD</v>
      </c>
      <c r="AG247" s="103" t="str">
        <f>IF(ISERROR(VLOOKUP(AE247,小細分類・事業部マスタ!$E:$H,4,FALSE)),"",VLOOKUP(AE247,小細分類・事業部マスタ!$E:$H,4,FALSE))</f>
        <v>パワーデバイス事業部</v>
      </c>
      <c r="AH247" s="101" t="s">
        <v>2169</v>
      </c>
      <c r="AI247" s="104">
        <f>IF(ISERROR(VLOOKUP(AJ247,設置場所!$A:$B,2,FALSE)),"",VLOOKUP(AJ247,設置場所!$A:$B,2,FALSE))</f>
        <v>900000030</v>
      </c>
      <c r="AJ247" s="101" t="s">
        <v>2191</v>
      </c>
      <c r="AK247" s="101" t="s">
        <v>1331</v>
      </c>
      <c r="AL247" s="101" t="s">
        <v>1336</v>
      </c>
      <c r="AM247" s="101"/>
      <c r="AN247" s="101"/>
      <c r="AO247" s="101"/>
      <c r="AP247" s="101"/>
      <c r="AQ247" s="101"/>
      <c r="AR247" s="105"/>
      <c r="AS247" s="171"/>
    </row>
    <row r="248" spans="1:45">
      <c r="A248" s="131" t="s">
        <v>1224</v>
      </c>
      <c r="B248" s="156" t="s">
        <v>1337</v>
      </c>
      <c r="C248" s="156" t="s">
        <v>1320</v>
      </c>
      <c r="D248" s="156" t="s">
        <v>1595</v>
      </c>
      <c r="E248" s="100"/>
      <c r="F248" s="156" t="s">
        <v>1907</v>
      </c>
      <c r="G248" s="157">
        <v>43889</v>
      </c>
      <c r="H248" s="158" t="s">
        <v>1953</v>
      </c>
      <c r="I248" s="158" t="s">
        <v>2133</v>
      </c>
      <c r="J248" s="156" t="s">
        <v>2140</v>
      </c>
      <c r="K248" s="156" t="s">
        <v>2155</v>
      </c>
      <c r="L248" s="156" t="s">
        <v>2168</v>
      </c>
      <c r="M248" s="156">
        <v>5</v>
      </c>
      <c r="N248" s="159">
        <v>395000</v>
      </c>
      <c r="O248" s="160">
        <v>1</v>
      </c>
      <c r="P248" s="160">
        <v>79633</v>
      </c>
      <c r="Q248" s="160">
        <v>3318</v>
      </c>
      <c r="R248" s="159">
        <v>69679</v>
      </c>
      <c r="S248" s="114"/>
      <c r="T248" s="114"/>
      <c r="U248" s="161">
        <v>0</v>
      </c>
      <c r="V248" s="158" t="s">
        <v>852</v>
      </c>
      <c r="W248" s="158" t="s">
        <v>627</v>
      </c>
      <c r="X248" s="158" t="s">
        <v>2172</v>
      </c>
      <c r="Y248" s="162" t="s">
        <v>2185</v>
      </c>
      <c r="Z248" s="163" t="s">
        <v>2191</v>
      </c>
      <c r="AA248" s="163">
        <v>1</v>
      </c>
      <c r="AB248" s="163">
        <v>1</v>
      </c>
      <c r="AC248" s="101">
        <v>1</v>
      </c>
      <c r="AD248" s="101">
        <v>1</v>
      </c>
      <c r="AE248" s="101" t="s">
        <v>2201</v>
      </c>
      <c r="AF248" s="102" t="str">
        <f>IF(ISERROR(VLOOKUP(AE248,小分類・セグメント!$A:$C,3,FALSE)),"",VLOOKUP(AE248,小分類・セグメント!$A:$C,3,FALSE))</f>
        <v>ECD</v>
      </c>
      <c r="AG248" s="103" t="str">
        <f>IF(ISERROR(VLOOKUP(AE248,小細分類・事業部マスタ!$E:$H,4,FALSE)),"",VLOOKUP(AE248,小細分類・事業部マスタ!$E:$H,4,FALSE))</f>
        <v>パワーデバイス事業部</v>
      </c>
      <c r="AH248" s="101" t="s">
        <v>2172</v>
      </c>
      <c r="AI248" s="104">
        <f>IF(ISERROR(VLOOKUP(AJ248,設置場所!$A:$B,2,FALSE)),"",VLOOKUP(AJ248,設置場所!$A:$B,2,FALSE))</f>
        <v>900000030</v>
      </c>
      <c r="AJ248" s="101" t="s">
        <v>2191</v>
      </c>
      <c r="AK248" s="101" t="s">
        <v>1331</v>
      </c>
      <c r="AL248" s="101" t="s">
        <v>1336</v>
      </c>
      <c r="AM248" s="101"/>
      <c r="AN248" s="101"/>
      <c r="AO248" s="101"/>
      <c r="AP248" s="101"/>
      <c r="AQ248" s="101"/>
      <c r="AR248" s="105"/>
      <c r="AS248" s="171"/>
    </row>
    <row r="249" spans="1:45">
      <c r="A249" s="131" t="s">
        <v>1224</v>
      </c>
      <c r="B249" s="156" t="s">
        <v>1337</v>
      </c>
      <c r="C249" s="156" t="s">
        <v>1320</v>
      </c>
      <c r="D249" s="156" t="s">
        <v>1596</v>
      </c>
      <c r="E249" s="100"/>
      <c r="F249" s="156" t="s">
        <v>1908</v>
      </c>
      <c r="G249" s="157">
        <v>44007</v>
      </c>
      <c r="H249" s="158" t="s">
        <v>1918</v>
      </c>
      <c r="I249" s="158" t="s">
        <v>2134</v>
      </c>
      <c r="J249" s="156" t="s">
        <v>2141</v>
      </c>
      <c r="K249" s="156" t="s">
        <v>2156</v>
      </c>
      <c r="L249" s="156" t="s">
        <v>2168</v>
      </c>
      <c r="M249" s="156">
        <v>5</v>
      </c>
      <c r="N249" s="159">
        <v>540000</v>
      </c>
      <c r="O249" s="160">
        <v>1</v>
      </c>
      <c r="P249" s="160">
        <v>129600</v>
      </c>
      <c r="Q249" s="160">
        <v>5400</v>
      </c>
      <c r="R249" s="159">
        <v>113400</v>
      </c>
      <c r="S249" s="114"/>
      <c r="T249" s="114"/>
      <c r="U249" s="161">
        <v>0</v>
      </c>
      <c r="V249" s="158" t="s">
        <v>852</v>
      </c>
      <c r="W249" s="158" t="s">
        <v>627</v>
      </c>
      <c r="X249" s="158" t="s">
        <v>2180</v>
      </c>
      <c r="Y249" s="162" t="s">
        <v>2185</v>
      </c>
      <c r="Z249" s="163" t="s">
        <v>2191</v>
      </c>
      <c r="AA249" s="163">
        <v>1</v>
      </c>
      <c r="AB249" s="163">
        <v>1</v>
      </c>
      <c r="AC249" s="101">
        <v>1</v>
      </c>
      <c r="AD249" s="101">
        <v>1</v>
      </c>
      <c r="AE249" s="101" t="s">
        <v>2201</v>
      </c>
      <c r="AF249" s="102" t="str">
        <f>IF(ISERROR(VLOOKUP(AE249,小分類・セグメント!$A:$C,3,FALSE)),"",VLOOKUP(AE249,小分類・セグメント!$A:$C,3,FALSE))</f>
        <v>ECD</v>
      </c>
      <c r="AG249" s="103" t="str">
        <f>IF(ISERROR(VLOOKUP(AE249,小細分類・事業部マスタ!$E:$H,4,FALSE)),"",VLOOKUP(AE249,小細分類・事業部マスタ!$E:$H,4,FALSE))</f>
        <v>パワーデバイス事業部</v>
      </c>
      <c r="AH249" s="101" t="s">
        <v>2180</v>
      </c>
      <c r="AI249" s="104">
        <f>IF(ISERROR(VLOOKUP(AJ249,設置場所!$A:$B,2,FALSE)),"",VLOOKUP(AJ249,設置場所!$A:$B,2,FALSE))</f>
        <v>900000030</v>
      </c>
      <c r="AJ249" s="101" t="s">
        <v>2191</v>
      </c>
      <c r="AK249" s="101" t="s">
        <v>1331</v>
      </c>
      <c r="AL249" s="101" t="s">
        <v>1336</v>
      </c>
      <c r="AM249" s="101"/>
      <c r="AN249" s="101"/>
      <c r="AO249" s="101"/>
      <c r="AP249" s="101"/>
      <c r="AQ249" s="101"/>
      <c r="AR249" s="105"/>
      <c r="AS249" s="171"/>
    </row>
  </sheetData>
  <mergeCells count="1">
    <mergeCell ref="AA1:AB1"/>
  </mergeCells>
  <phoneticPr fontId="2"/>
  <conditionalFormatting sqref="AC4:AC249">
    <cfRule type="expression" dxfId="68" priority="24">
      <formula>$AC4=""</formula>
    </cfRule>
  </conditionalFormatting>
  <conditionalFormatting sqref="AD4:AD249">
    <cfRule type="expression" dxfId="67" priority="18">
      <formula>$AD4=""</formula>
    </cfRule>
  </conditionalFormatting>
  <conditionalFormatting sqref="AE4:AE249">
    <cfRule type="expression" dxfId="66" priority="17">
      <formula>$AE4=""</formula>
    </cfRule>
  </conditionalFormatting>
  <conditionalFormatting sqref="AH4:AH249">
    <cfRule type="expression" dxfId="65" priority="16">
      <formula>$AH4=""</formula>
    </cfRule>
  </conditionalFormatting>
  <conditionalFormatting sqref="AJ4:AJ249">
    <cfRule type="expression" dxfId="64" priority="15">
      <formula>$AJ4=""</formula>
    </cfRule>
  </conditionalFormatting>
  <conditionalFormatting sqref="AK4:AK249">
    <cfRule type="expression" dxfId="63" priority="14">
      <formula>$AK4=""</formula>
    </cfRule>
  </conditionalFormatting>
  <conditionalFormatting sqref="AL4:AL249">
    <cfRule type="expression" dxfId="62" priority="13">
      <formula>$AL4=""</formula>
    </cfRule>
  </conditionalFormatting>
  <conditionalFormatting sqref="AM4:AM249">
    <cfRule type="expression" dxfId="61" priority="11">
      <formula>OR($AD4=1,$AD4=4)</formula>
    </cfRule>
    <cfRule type="expression" dxfId="60" priority="12">
      <formula>AND($AD4&lt;&gt;1,$AD4&lt;&gt;4,$AM4="")</formula>
    </cfRule>
  </conditionalFormatting>
  <conditionalFormatting sqref="AN4:AN249">
    <cfRule type="expression" dxfId="59" priority="9">
      <formula>OR($AD4=1,$AD4=2,$AD4=4,$AD4=5,$AD4=7,$AD4=8,$AD4=10)</formula>
    </cfRule>
    <cfRule type="expression" dxfId="58" priority="10">
      <formula>AND($AD4&lt;&gt;1,$AD4&lt;&gt;2,$AD4&lt;&gt;4,$AD4&lt;&gt;5,$AD4&lt;&gt;7,$AD4&lt;&gt;8,$AD4&lt;&gt;10,$AN4="")</formula>
    </cfRule>
  </conditionalFormatting>
  <conditionalFormatting sqref="AO4:AO249">
    <cfRule type="expression" dxfId="57" priority="7">
      <formula>OR($AD4=1,$AD4=2,$AD4=4,$AD4=5,$AD4=7,$AD4=8,$AD4=10)</formula>
    </cfRule>
    <cfRule type="expression" dxfId="56" priority="8">
      <formula>AND($AD4&lt;&gt;1,$AD4&lt;&gt;2,$AD4&lt;&gt;4,$AD4&lt;&gt;5,$AD4&lt;&gt;7,$AD4&lt;&gt;8,$AD4&lt;&gt;10,$AO4="")</formula>
    </cfRule>
  </conditionalFormatting>
  <conditionalFormatting sqref="AP4:AP249">
    <cfRule type="expression" dxfId="55" priority="5">
      <formula>OR($AD4=1,$AD4=4)</formula>
    </cfRule>
    <cfRule type="expression" dxfId="54" priority="6">
      <formula>AND($AD4&lt;&gt;1,$AD4&lt;&gt;4,$AP4="")</formula>
    </cfRule>
  </conditionalFormatting>
  <conditionalFormatting sqref="AQ4:AQ249">
    <cfRule type="expression" dxfId="53" priority="3">
      <formula>OR($AD4=1,$AD4=4)</formula>
    </cfRule>
    <cfRule type="expression" dxfId="52" priority="4">
      <formula>AND($AD4&lt;&gt;1,$AD4&lt;&gt;4,$AQ4="")</formula>
    </cfRule>
  </conditionalFormatting>
  <conditionalFormatting sqref="AR4:AR249">
    <cfRule type="expression" dxfId="51" priority="1">
      <formula>OR($AD4=1,$AD4=4)</formula>
    </cfRule>
    <cfRule type="expression" dxfId="50" priority="2">
      <formula>AND($AD4&lt;&gt;1,$AD4&lt;&gt;4,$AR4="")</formula>
    </cfRule>
  </conditionalFormatting>
  <dataValidations count="2">
    <dataValidation type="list" allowBlank="1" showInputMessage="1" showErrorMessage="1" sqref="A4:A249">
      <formula1>拠点名</formula1>
    </dataValidation>
    <dataValidation imeMode="off" allowBlank="1" showInputMessage="1" showErrorMessage="1" sqref="AN4:AN249"/>
  </dataValidations>
  <pageMargins left="0.196850393700787" right="0.196850393700787" top="0.39370078740157499" bottom="0.39370078740157499" header="0.196850393700787" footer="0.196850393700787"/>
  <pageSetup paperSize="9" scale="3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0" r:id="rId4" name="Button 22">
              <controlPr defaultSize="0" print="0" autoFill="0" autoPict="0" macro="[0]!Make_CSV">
                <anchor moveWithCells="1">
                  <from>
                    <xdr:col>3</xdr:col>
                    <xdr:colOff>350520</xdr:colOff>
                    <xdr:row>0</xdr:row>
                    <xdr:rowOff>91440</xdr:rowOff>
                  </from>
                  <to>
                    <xdr:col>4</xdr:col>
                    <xdr:colOff>129540</xdr:colOff>
                    <xdr:row>0</xdr:row>
                    <xdr:rowOff>281940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判定一覧!$I$3:$I$5</xm:f>
          </x14:formula1>
          <xm:sqref>AK4:AK249</xm:sqref>
        </x14:dataValidation>
        <x14:dataValidation type="list" allowBlank="1" showInputMessage="1" showErrorMessage="1">
          <x14:formula1>
            <xm:f>判定一覧!$K$3:$K$5</xm:f>
          </x14:formula1>
          <xm:sqref>AL4:AL249</xm:sqref>
        </x14:dataValidation>
        <x14:dataValidation type="list" allowBlank="1" showInputMessage="1" showErrorMessage="1">
          <x14:formula1>
            <xm:f>判定一覧!$E$3:$E$5</xm:f>
          </x14:formula1>
          <xm:sqref>AC4:AC249</xm:sqref>
        </x14:dataValidation>
        <x14:dataValidation type="list" allowBlank="1" showInputMessage="1" showErrorMessage="1">
          <x14:formula1>
            <xm:f>判定一覧!$G$3:$G$12</xm:f>
          </x14:formula1>
          <xm:sqref>AD4:AD249</xm:sqref>
        </x14:dataValidation>
        <x14:dataValidation type="list" allowBlank="1" showInputMessage="1" showErrorMessage="1">
          <x14:formula1>
            <xm:f>小分類・セグメント!$A:$A</xm:f>
          </x14:formula1>
          <xm:sqref>AE4:AE249</xm:sqref>
        </x14:dataValidation>
        <x14:dataValidation type="list" allowBlank="1" showInputMessage="1">
          <x14:formula1>
            <xm:f>設置場所!$A$2:$A$2000</xm:f>
          </x14:formula1>
          <xm:sqref>AJ4:AJ249</xm:sqref>
        </x14:dataValidation>
        <x14:dataValidation type="list" allowBlank="1" showInputMessage="1" showErrorMessage="1">
          <x14:formula1>
            <xm:f>判定一覧!$M$3:$M$11</xm:f>
          </x14:formula1>
          <xm:sqref>AM4:AM249</xm:sqref>
        </x14:dataValidation>
        <x14:dataValidation type="list" allowBlank="1" showInputMessage="1" showErrorMessage="1">
          <x14:formula1>
            <xm:f>判定一覧!$C$3:$C$13</xm:f>
          </x14:formula1>
          <xm:sqref>B4:B249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M56"/>
  <sheetViews>
    <sheetView showGridLines="0" zoomScale="85" zoomScaleNormal="85" workbookViewId="0">
      <selection activeCell="J14" sqref="J14"/>
    </sheetView>
  </sheetViews>
  <sheetFormatPr defaultColWidth="9" defaultRowHeight="13.2"/>
  <cols>
    <col min="1" max="1" width="2" style="49" customWidth="1"/>
    <col min="2" max="2" width="22.33203125" style="49" customWidth="1"/>
    <col min="3" max="8" width="14.21875" style="49" customWidth="1"/>
    <col min="9" max="9" width="21.44140625" style="49" customWidth="1"/>
    <col min="10" max="13" width="14.21875" style="49" customWidth="1"/>
    <col min="14" max="16384" width="9" style="49"/>
  </cols>
  <sheetData>
    <row r="1" spans="2:13">
      <c r="L1" s="49" t="s">
        <v>38</v>
      </c>
      <c r="M1" s="49" t="s">
        <v>39</v>
      </c>
    </row>
    <row r="2" spans="2:13" ht="13.5" customHeight="1">
      <c r="B2" s="166" t="s">
        <v>37</v>
      </c>
      <c r="C2" s="166"/>
      <c r="D2" s="166"/>
      <c r="E2" s="166"/>
      <c r="F2" s="166"/>
      <c r="H2" s="50"/>
      <c r="I2" s="50"/>
      <c r="L2" s="51" t="s">
        <v>36</v>
      </c>
      <c r="M2" s="51" t="s">
        <v>35</v>
      </c>
    </row>
    <row r="3" spans="2:13" ht="13.5" customHeight="1">
      <c r="B3" s="166"/>
      <c r="C3" s="166"/>
      <c r="D3" s="166"/>
      <c r="E3" s="166"/>
      <c r="F3" s="166"/>
      <c r="L3" s="52"/>
      <c r="M3" s="52"/>
    </row>
    <row r="4" spans="2:13">
      <c r="L4" s="53"/>
      <c r="M4" s="53"/>
    </row>
    <row r="5" spans="2:13">
      <c r="B5" s="167" t="s">
        <v>875</v>
      </c>
      <c r="C5" s="167"/>
      <c r="D5" s="167"/>
      <c r="L5" s="53"/>
      <c r="M5" s="53"/>
    </row>
    <row r="6" spans="2:13">
      <c r="L6" s="53"/>
      <c r="M6" s="53"/>
    </row>
    <row r="7" spans="2:13">
      <c r="B7" s="54" t="s">
        <v>876</v>
      </c>
      <c r="C7" s="54" t="s">
        <v>877</v>
      </c>
      <c r="L7" s="53"/>
      <c r="M7" s="53"/>
    </row>
    <row r="8" spans="2:13">
      <c r="B8" s="55" t="s">
        <v>24</v>
      </c>
      <c r="C8" s="56">
        <f>+SUMIF(調査台帳!C:C,まとめ表!B8,調査台帳!R:R)</f>
        <v>274803725</v>
      </c>
      <c r="L8" s="57"/>
      <c r="M8" s="57"/>
    </row>
    <row r="9" spans="2:13">
      <c r="B9" s="55" t="s">
        <v>23</v>
      </c>
      <c r="C9" s="56">
        <f>+SUMIF(調査台帳!C:C,まとめ表!B9,調査台帳!R:R)</f>
        <v>0</v>
      </c>
      <c r="L9" s="58"/>
      <c r="M9" s="58"/>
    </row>
    <row r="10" spans="2:13">
      <c r="B10" s="55" t="s">
        <v>22</v>
      </c>
      <c r="C10" s="56">
        <f>+SUMIF(調査台帳!C:C,まとめ表!B10,調査台帳!R:R)</f>
        <v>142</v>
      </c>
    </row>
    <row r="11" spans="2:13">
      <c r="B11" s="55" t="s">
        <v>21</v>
      </c>
      <c r="C11" s="56">
        <f>+SUMIF(調査台帳!C:C,まとめ表!B11,調査台帳!R:R)</f>
        <v>0</v>
      </c>
    </row>
    <row r="12" spans="2:13">
      <c r="B12" s="55" t="s">
        <v>20</v>
      </c>
      <c r="C12" s="56">
        <f>+SUMIF(調査台帳!C:C,まとめ表!B12,調査台帳!R:R)</f>
        <v>1435737</v>
      </c>
    </row>
    <row r="13" spans="2:13">
      <c r="B13" s="55" t="s">
        <v>19</v>
      </c>
      <c r="C13" s="56">
        <f>+SUMIF(調査台帳!C:C,まとめ表!B13,調査台帳!R:R)</f>
        <v>0</v>
      </c>
    </row>
    <row r="14" spans="2:13">
      <c r="B14" s="55" t="s">
        <v>18</v>
      </c>
      <c r="C14" s="56">
        <f>+SUMIF(調査台帳!C:C,まとめ表!B14,調査台帳!R:R)</f>
        <v>0</v>
      </c>
    </row>
    <row r="15" spans="2:13">
      <c r="B15" s="55" t="s">
        <v>17</v>
      </c>
      <c r="C15" s="56">
        <f>+SUMIF(調査台帳!C:C,まとめ表!B15,調査台帳!R:R)</f>
        <v>0</v>
      </c>
    </row>
    <row r="16" spans="2:13">
      <c r="B16" s="55" t="s">
        <v>16</v>
      </c>
      <c r="C16" s="56">
        <f>+SUMIF(調査台帳!C:C,まとめ表!B16,調査台帳!R:R)</f>
        <v>0</v>
      </c>
    </row>
    <row r="17" spans="2:13" ht="13.8" thickBot="1">
      <c r="B17" s="52" t="s">
        <v>1068</v>
      </c>
      <c r="C17" s="59">
        <f>+SUMIF(調査台帳!C:C,まとめ表!B17,調査台帳!R:R)</f>
        <v>0</v>
      </c>
      <c r="D17" s="49" t="s">
        <v>878</v>
      </c>
    </row>
    <row r="18" spans="2:13" ht="13.8" thickTop="1">
      <c r="B18" s="60" t="s">
        <v>25</v>
      </c>
      <c r="C18" s="61">
        <f>SUM(C8:C17)</f>
        <v>276239604</v>
      </c>
      <c r="D18" s="56">
        <f>C18-M33</f>
        <v>0</v>
      </c>
    </row>
    <row r="19" spans="2:13">
      <c r="B19" s="168" t="s">
        <v>1069</v>
      </c>
      <c r="C19" s="168"/>
    </row>
    <row r="21" spans="2:13">
      <c r="B21" s="167" t="s">
        <v>1070</v>
      </c>
      <c r="C21" s="167"/>
      <c r="D21" s="167"/>
    </row>
    <row r="22" spans="2:13"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3" t="s">
        <v>881</v>
      </c>
    </row>
    <row r="23" spans="2:13">
      <c r="B23" s="170" t="s">
        <v>874</v>
      </c>
      <c r="C23" s="169" t="s">
        <v>34</v>
      </c>
      <c r="D23" s="169"/>
      <c r="E23" s="169"/>
      <c r="F23" s="169"/>
      <c r="G23" s="169"/>
      <c r="H23" s="169"/>
      <c r="I23" s="169"/>
      <c r="J23" s="169"/>
      <c r="K23" s="169"/>
      <c r="L23" s="169"/>
      <c r="M23" s="64"/>
    </row>
    <row r="24" spans="2:13" ht="26.4">
      <c r="B24" s="170"/>
      <c r="C24" s="65" t="s">
        <v>33</v>
      </c>
      <c r="D24" s="65" t="s">
        <v>32</v>
      </c>
      <c r="E24" s="65" t="s">
        <v>31</v>
      </c>
      <c r="F24" s="66" t="s">
        <v>1071</v>
      </c>
      <c r="G24" s="66" t="s">
        <v>1072</v>
      </c>
      <c r="H24" s="66" t="s">
        <v>1073</v>
      </c>
      <c r="I24" s="66" t="s">
        <v>1074</v>
      </c>
      <c r="J24" s="66" t="s">
        <v>1075</v>
      </c>
      <c r="K24" s="66" t="s">
        <v>1076</v>
      </c>
      <c r="L24" s="66" t="s">
        <v>1077</v>
      </c>
      <c r="M24" s="65" t="s">
        <v>30</v>
      </c>
    </row>
    <row r="25" spans="2:13">
      <c r="B25" s="170"/>
      <c r="C25" s="67" t="s">
        <v>26</v>
      </c>
      <c r="D25" s="67" t="s">
        <v>28</v>
      </c>
      <c r="E25" s="67" t="s">
        <v>27</v>
      </c>
      <c r="F25" s="67" t="s">
        <v>26</v>
      </c>
      <c r="G25" s="67" t="s">
        <v>28</v>
      </c>
      <c r="H25" s="67" t="s">
        <v>27</v>
      </c>
      <c r="I25" s="67" t="s">
        <v>29</v>
      </c>
      <c r="J25" s="67" t="s">
        <v>28</v>
      </c>
      <c r="K25" s="67" t="s">
        <v>27</v>
      </c>
      <c r="L25" s="67" t="s">
        <v>26</v>
      </c>
      <c r="M25" s="68"/>
    </row>
    <row r="26" spans="2:13">
      <c r="B26" s="55" t="s">
        <v>1078</v>
      </c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>
        <f>SUM(C26:L26)</f>
        <v>0</v>
      </c>
    </row>
    <row r="27" spans="2:13">
      <c r="B27" s="55" t="s">
        <v>980</v>
      </c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>
        <f t="shared" ref="M27:M33" si="0">SUM(C27:L27)</f>
        <v>0</v>
      </c>
    </row>
    <row r="28" spans="2:13">
      <c r="B28" s="55" t="s">
        <v>981</v>
      </c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>
        <f t="shared" si="0"/>
        <v>0</v>
      </c>
    </row>
    <row r="29" spans="2:13">
      <c r="B29" s="55" t="s">
        <v>982</v>
      </c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>
        <f t="shared" si="0"/>
        <v>0</v>
      </c>
    </row>
    <row r="30" spans="2:13">
      <c r="B30" s="55" t="s">
        <v>983</v>
      </c>
      <c r="C30" s="56">
        <f>+SUMIF(調査台帳!AD:AD,1,調査台帳!R:R)</f>
        <v>276184992</v>
      </c>
      <c r="D30" s="56"/>
      <c r="E30" s="56"/>
      <c r="F30" s="56">
        <f>+SUMIF(調査台帳!AD:AD,4,調査台帳!R:R)</f>
        <v>54610</v>
      </c>
      <c r="G30" s="56"/>
      <c r="H30" s="56"/>
      <c r="I30" s="56"/>
      <c r="J30" s="56"/>
      <c r="K30" s="56"/>
      <c r="L30" s="56">
        <f>+SUMIF(調査台帳!AD:AD,10,調査台帳!R:R)</f>
        <v>2</v>
      </c>
      <c r="M30" s="56">
        <f t="shared" si="0"/>
        <v>276239604</v>
      </c>
    </row>
    <row r="31" spans="2:13">
      <c r="B31" s="55" t="s">
        <v>984</v>
      </c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>
        <f t="shared" si="0"/>
        <v>0</v>
      </c>
    </row>
    <row r="32" spans="2:13" ht="13.8" thickBot="1">
      <c r="B32" s="55" t="s">
        <v>1079</v>
      </c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>
        <f t="shared" si="0"/>
        <v>0</v>
      </c>
    </row>
    <row r="33" spans="2:13" ht="13.8" thickTop="1">
      <c r="B33" s="60" t="s">
        <v>25</v>
      </c>
      <c r="C33" s="61">
        <f t="shared" ref="C33:L33" si="1">SUM(C26:C32)</f>
        <v>276184992</v>
      </c>
      <c r="D33" s="61">
        <f t="shared" si="1"/>
        <v>0</v>
      </c>
      <c r="E33" s="61">
        <f t="shared" si="1"/>
        <v>0</v>
      </c>
      <c r="F33" s="61">
        <f t="shared" si="1"/>
        <v>54610</v>
      </c>
      <c r="G33" s="61">
        <f t="shared" si="1"/>
        <v>0</v>
      </c>
      <c r="H33" s="61">
        <f t="shared" si="1"/>
        <v>0</v>
      </c>
      <c r="I33" s="61">
        <f t="shared" si="1"/>
        <v>0</v>
      </c>
      <c r="J33" s="61">
        <f t="shared" si="1"/>
        <v>0</v>
      </c>
      <c r="K33" s="61">
        <f t="shared" si="1"/>
        <v>0</v>
      </c>
      <c r="L33" s="61">
        <f t="shared" si="1"/>
        <v>2</v>
      </c>
      <c r="M33" s="61">
        <f t="shared" si="0"/>
        <v>276239604</v>
      </c>
    </row>
    <row r="34" spans="2:13">
      <c r="L34" s="165"/>
      <c r="M34" s="165"/>
    </row>
    <row r="35" spans="2:13">
      <c r="B35" s="49" t="s">
        <v>1080</v>
      </c>
      <c r="C35" s="1"/>
      <c r="D35" s="1"/>
    </row>
    <row r="36" spans="2:13" ht="62.25" customHeight="1">
      <c r="B36" s="54" t="s">
        <v>874</v>
      </c>
      <c r="C36" s="69" t="s">
        <v>1081</v>
      </c>
    </row>
    <row r="37" spans="2:13">
      <c r="B37" s="55" t="s">
        <v>1078</v>
      </c>
      <c r="C37" s="70">
        <f t="shared" ref="C37:C43" si="2">SUM(D26,E26,G26,H26,J26,K26)</f>
        <v>0</v>
      </c>
    </row>
    <row r="38" spans="2:13">
      <c r="B38" s="55" t="s">
        <v>980</v>
      </c>
      <c r="C38" s="70">
        <f t="shared" si="2"/>
        <v>0</v>
      </c>
    </row>
    <row r="39" spans="2:13">
      <c r="B39" s="55" t="s">
        <v>981</v>
      </c>
      <c r="C39" s="70">
        <f t="shared" si="2"/>
        <v>0</v>
      </c>
    </row>
    <row r="40" spans="2:13">
      <c r="B40" s="55" t="s">
        <v>982</v>
      </c>
      <c r="C40" s="70">
        <f t="shared" si="2"/>
        <v>0</v>
      </c>
    </row>
    <row r="41" spans="2:13">
      <c r="B41" s="55" t="s">
        <v>983</v>
      </c>
      <c r="C41" s="70">
        <f t="shared" si="2"/>
        <v>0</v>
      </c>
    </row>
    <row r="42" spans="2:13">
      <c r="B42" s="55" t="s">
        <v>984</v>
      </c>
      <c r="C42" s="70">
        <f t="shared" si="2"/>
        <v>0</v>
      </c>
    </row>
    <row r="43" spans="2:13" ht="13.8" thickBot="1">
      <c r="B43" s="52" t="s">
        <v>1030</v>
      </c>
      <c r="C43" s="70">
        <f t="shared" si="2"/>
        <v>0</v>
      </c>
    </row>
    <row r="44" spans="2:13" ht="13.8" thickTop="1">
      <c r="B44" s="60" t="s">
        <v>25</v>
      </c>
      <c r="C44" s="71">
        <f>SUM(C37:C43)</f>
        <v>0</v>
      </c>
    </row>
    <row r="46" spans="2:13">
      <c r="B46" s="49" t="s">
        <v>1323</v>
      </c>
      <c r="F46" s="1"/>
      <c r="G46" s="63"/>
    </row>
    <row r="47" spans="2:13">
      <c r="B47" s="72"/>
      <c r="C47" s="73" t="s">
        <v>783</v>
      </c>
      <c r="D47" s="73" t="s">
        <v>784</v>
      </c>
      <c r="E47" s="73" t="s">
        <v>785</v>
      </c>
      <c r="F47" s="73" t="s">
        <v>786</v>
      </c>
      <c r="G47" s="73" t="s">
        <v>787</v>
      </c>
      <c r="H47" s="73" t="s">
        <v>788</v>
      </c>
      <c r="I47" s="73" t="s">
        <v>1082</v>
      </c>
    </row>
    <row r="48" spans="2:13" ht="126" customHeight="1">
      <c r="B48" s="54" t="s">
        <v>874</v>
      </c>
      <c r="C48" s="69" t="s">
        <v>1083</v>
      </c>
      <c r="D48" s="69" t="s">
        <v>1327</v>
      </c>
      <c r="E48" s="69" t="s">
        <v>1324</v>
      </c>
      <c r="F48" s="69" t="s">
        <v>1328</v>
      </c>
      <c r="G48" s="69" t="s">
        <v>1329</v>
      </c>
      <c r="H48" s="69" t="s">
        <v>1292</v>
      </c>
      <c r="I48" s="69" t="s">
        <v>1330</v>
      </c>
    </row>
    <row r="49" spans="2:9">
      <c r="B49" s="55" t="s">
        <v>1078</v>
      </c>
      <c r="C49" s="74"/>
      <c r="D49" s="74"/>
      <c r="E49" s="74"/>
      <c r="F49" s="74"/>
      <c r="G49" s="74"/>
      <c r="H49" s="74">
        <f>C49-D49+E49-F49-G49</f>
        <v>0</v>
      </c>
      <c r="I49" s="55"/>
    </row>
    <row r="50" spans="2:9">
      <c r="B50" s="55" t="s">
        <v>980</v>
      </c>
      <c r="C50" s="74"/>
      <c r="D50" s="74"/>
      <c r="E50" s="74"/>
      <c r="F50" s="74"/>
      <c r="G50" s="74"/>
      <c r="H50" s="74">
        <f>C50-D50+E50-F50-G50</f>
        <v>0</v>
      </c>
      <c r="I50" s="55"/>
    </row>
    <row r="51" spans="2:9">
      <c r="B51" s="55" t="s">
        <v>981</v>
      </c>
      <c r="C51" s="74"/>
      <c r="D51" s="74"/>
      <c r="E51" s="74"/>
      <c r="F51" s="74"/>
      <c r="G51" s="74"/>
      <c r="H51" s="74">
        <f t="shared" ref="H51:H56" si="3">C51-D51+E51-F51-G51</f>
        <v>0</v>
      </c>
      <c r="I51" s="55"/>
    </row>
    <row r="52" spans="2:9">
      <c r="B52" s="55" t="s">
        <v>982</v>
      </c>
      <c r="C52" s="74"/>
      <c r="D52" s="74"/>
      <c r="E52" s="74"/>
      <c r="F52" s="74"/>
      <c r="G52" s="74"/>
      <c r="H52" s="74">
        <f t="shared" si="3"/>
        <v>0</v>
      </c>
      <c r="I52" s="55"/>
    </row>
    <row r="53" spans="2:9">
      <c r="B53" s="55" t="s">
        <v>983</v>
      </c>
      <c r="C53" s="74"/>
      <c r="D53" s="74"/>
      <c r="E53" s="74"/>
      <c r="F53" s="74"/>
      <c r="G53" s="74"/>
      <c r="H53" s="74">
        <f t="shared" si="3"/>
        <v>0</v>
      </c>
      <c r="I53" s="55"/>
    </row>
    <row r="54" spans="2:9">
      <c r="B54" s="55" t="s">
        <v>984</v>
      </c>
      <c r="C54" s="74"/>
      <c r="D54" s="74"/>
      <c r="E54" s="74"/>
      <c r="F54" s="74"/>
      <c r="G54" s="74"/>
      <c r="H54" s="74">
        <f t="shared" si="3"/>
        <v>0</v>
      </c>
      <c r="I54" s="55"/>
    </row>
    <row r="55" spans="2:9" ht="13.8" thickBot="1">
      <c r="B55" s="52" t="s">
        <v>1079</v>
      </c>
      <c r="C55" s="75"/>
      <c r="D55" s="75"/>
      <c r="E55" s="75"/>
      <c r="F55" s="75"/>
      <c r="G55" s="75"/>
      <c r="H55" s="74">
        <f t="shared" si="3"/>
        <v>0</v>
      </c>
      <c r="I55" s="55"/>
    </row>
    <row r="56" spans="2:9" ht="13.8" thickTop="1">
      <c r="B56" s="60" t="s">
        <v>15</v>
      </c>
      <c r="C56" s="61">
        <f>SUM(C49:C55)</f>
        <v>0</v>
      </c>
      <c r="D56" s="61">
        <f>SUM(D49:D55)</f>
        <v>0</v>
      </c>
      <c r="E56" s="61">
        <f>SUM(E49:E55)</f>
        <v>0</v>
      </c>
      <c r="F56" s="61">
        <f>SUM(F49:F55)</f>
        <v>0</v>
      </c>
      <c r="G56" s="61">
        <f>SUM(G49:G55)</f>
        <v>0</v>
      </c>
      <c r="H56" s="76">
        <f t="shared" si="3"/>
        <v>0</v>
      </c>
      <c r="I56" s="55"/>
    </row>
  </sheetData>
  <mergeCells count="7">
    <mergeCell ref="L34:M34"/>
    <mergeCell ref="B2:F3"/>
    <mergeCell ref="B5:D5"/>
    <mergeCell ref="B19:C19"/>
    <mergeCell ref="B21:D21"/>
    <mergeCell ref="C23:L23"/>
    <mergeCell ref="B23:B25"/>
  </mergeCells>
  <phoneticPr fontId="2"/>
  <pageMargins left="0.39" right="0.4" top="0.41" bottom="0.41" header="0.2" footer="0.2"/>
  <pageSetup paperSize="9" scale="54" orientation="landscape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Q33"/>
  <sheetViews>
    <sheetView showGridLines="0" workbookViewId="0">
      <pane ySplit="3" topLeftCell="A4" activePane="bottomLeft" state="frozen"/>
      <selection activeCell="C118" sqref="C118"/>
      <selection pane="bottomLeft" activeCell="A4" sqref="A4"/>
    </sheetView>
  </sheetViews>
  <sheetFormatPr defaultColWidth="2" defaultRowHeight="10.8"/>
  <cols>
    <col min="1" max="1" width="2.109375" style="3" customWidth="1"/>
    <col min="2" max="2" width="4.44140625" style="3" bestFit="1" customWidth="1"/>
    <col min="3" max="3" width="16.33203125" style="3" customWidth="1"/>
    <col min="4" max="4" width="17.6640625" style="3" customWidth="1"/>
    <col min="5" max="5" width="6.33203125" style="3" customWidth="1"/>
    <col min="6" max="6" width="11.21875" style="3" customWidth="1"/>
    <col min="7" max="7" width="10" style="3" customWidth="1"/>
    <col min="8" max="8" width="9.109375" style="3" bestFit="1" customWidth="1"/>
    <col min="9" max="9" width="6" style="3" bestFit="1" customWidth="1"/>
    <col min="10" max="10" width="12.77734375" style="3" bestFit="1" customWidth="1"/>
    <col min="11" max="11" width="6.21875" style="3" customWidth="1"/>
    <col min="12" max="12" width="18.88671875" style="3" customWidth="1"/>
    <col min="13" max="13" width="8.6640625" style="3" bestFit="1" customWidth="1"/>
    <col min="14" max="16" width="9.109375" style="3" bestFit="1" customWidth="1"/>
    <col min="17" max="17" width="4.44140625" style="3" bestFit="1" customWidth="1"/>
    <col min="18" max="16384" width="2" style="3"/>
  </cols>
  <sheetData>
    <row r="1" spans="1:17" ht="18" customHeight="1">
      <c r="A1" s="4" t="s">
        <v>69</v>
      </c>
    </row>
    <row r="3" spans="1:17" ht="21.6">
      <c r="B3" s="12" t="s">
        <v>68</v>
      </c>
      <c r="C3" s="12" t="s">
        <v>67</v>
      </c>
      <c r="D3" s="12" t="s">
        <v>66</v>
      </c>
      <c r="E3" s="12" t="s">
        <v>8</v>
      </c>
      <c r="F3" s="12" t="s">
        <v>65</v>
      </c>
      <c r="G3" s="12" t="s">
        <v>64</v>
      </c>
      <c r="H3" s="12" t="s">
        <v>63</v>
      </c>
      <c r="I3" s="12" t="s">
        <v>62</v>
      </c>
      <c r="J3" s="12" t="s">
        <v>61</v>
      </c>
      <c r="K3" s="12" t="s">
        <v>60</v>
      </c>
      <c r="L3" s="12" t="s">
        <v>59</v>
      </c>
      <c r="M3" s="12" t="s">
        <v>58</v>
      </c>
      <c r="N3" s="12" t="s">
        <v>57</v>
      </c>
      <c r="O3" s="13" t="s">
        <v>56</v>
      </c>
      <c r="P3" s="13" t="s">
        <v>55</v>
      </c>
      <c r="Q3" s="12" t="s">
        <v>54</v>
      </c>
    </row>
    <row r="4" spans="1:17" ht="60" customHeight="1">
      <c r="A4" s="3" t="s">
        <v>53</v>
      </c>
      <c r="B4" s="8" t="s">
        <v>52</v>
      </c>
      <c r="C4" s="11" t="s">
        <v>51</v>
      </c>
      <c r="D4" s="8" t="s">
        <v>50</v>
      </c>
      <c r="E4" s="8" t="s">
        <v>49</v>
      </c>
      <c r="F4" s="8" t="s">
        <v>48</v>
      </c>
      <c r="G4" s="8" t="s">
        <v>47</v>
      </c>
      <c r="H4" s="8" t="s">
        <v>46</v>
      </c>
      <c r="I4" s="8" t="s">
        <v>45</v>
      </c>
      <c r="J4" s="8" t="s">
        <v>44</v>
      </c>
      <c r="K4" s="8" t="s">
        <v>43</v>
      </c>
      <c r="L4" s="11"/>
      <c r="M4" s="11" t="s">
        <v>40</v>
      </c>
      <c r="N4" s="10">
        <v>39386</v>
      </c>
      <c r="O4" s="9">
        <v>50000000</v>
      </c>
      <c r="P4" s="9">
        <v>648880</v>
      </c>
      <c r="Q4" s="8" t="s">
        <v>42</v>
      </c>
    </row>
    <row r="5" spans="1:17" ht="60" customHeight="1">
      <c r="B5" s="5"/>
      <c r="C5" s="2"/>
      <c r="D5" s="5"/>
      <c r="E5" s="5"/>
      <c r="F5" s="5"/>
      <c r="G5" s="5"/>
      <c r="H5" s="5"/>
      <c r="I5" s="5"/>
      <c r="J5" s="5"/>
      <c r="K5" s="5"/>
      <c r="L5" s="2"/>
      <c r="M5" s="2"/>
      <c r="N5" s="7"/>
      <c r="O5" s="6"/>
      <c r="P5" s="6"/>
      <c r="Q5" s="5"/>
    </row>
    <row r="6" spans="1:17" ht="60" customHeight="1">
      <c r="B6" s="5"/>
      <c r="C6" s="2"/>
      <c r="D6" s="5"/>
      <c r="E6" s="5"/>
      <c r="F6" s="5"/>
      <c r="G6" s="5"/>
      <c r="H6" s="5"/>
      <c r="I6" s="5"/>
      <c r="J6" s="5"/>
      <c r="K6" s="5"/>
      <c r="L6" s="2"/>
      <c r="M6" s="2"/>
      <c r="N6" s="7"/>
      <c r="O6" s="6"/>
      <c r="P6" s="6"/>
      <c r="Q6" s="5"/>
    </row>
    <row r="7" spans="1:17" ht="60" customHeight="1">
      <c r="B7" s="5"/>
      <c r="C7" s="2"/>
      <c r="D7" s="5"/>
      <c r="E7" s="5"/>
      <c r="F7" s="5"/>
      <c r="G7" s="5"/>
      <c r="H7" s="5"/>
      <c r="I7" s="5"/>
      <c r="J7" s="5"/>
      <c r="K7" s="5"/>
      <c r="L7" s="2"/>
      <c r="M7" s="2"/>
      <c r="N7" s="7"/>
      <c r="O7" s="6"/>
      <c r="P7" s="6"/>
      <c r="Q7" s="5"/>
    </row>
    <row r="8" spans="1:17" ht="60" customHeight="1">
      <c r="B8" s="5"/>
      <c r="C8" s="2"/>
      <c r="D8" s="5"/>
      <c r="E8" s="5"/>
      <c r="F8" s="5"/>
      <c r="G8" s="5"/>
      <c r="H8" s="5"/>
      <c r="I8" s="5"/>
      <c r="J8" s="5"/>
      <c r="K8" s="5"/>
      <c r="L8" s="2"/>
      <c r="M8" s="2"/>
      <c r="N8" s="7"/>
      <c r="O8" s="6"/>
      <c r="P8" s="6"/>
      <c r="Q8" s="5"/>
    </row>
    <row r="9" spans="1:17" ht="60" customHeight="1">
      <c r="B9" s="5"/>
      <c r="C9" s="2"/>
      <c r="D9" s="5"/>
      <c r="E9" s="5"/>
      <c r="F9" s="5"/>
      <c r="G9" s="5"/>
      <c r="H9" s="5"/>
      <c r="I9" s="5"/>
      <c r="J9" s="5"/>
      <c r="K9" s="5"/>
      <c r="L9" s="2"/>
      <c r="M9" s="2"/>
      <c r="N9" s="7"/>
      <c r="O9" s="6"/>
      <c r="P9" s="6"/>
      <c r="Q9" s="5"/>
    </row>
    <row r="10" spans="1:17" ht="60" customHeight="1">
      <c r="B10" s="5"/>
      <c r="C10" s="2"/>
      <c r="D10" s="5"/>
      <c r="E10" s="5"/>
      <c r="F10" s="5"/>
      <c r="G10" s="5"/>
      <c r="H10" s="5"/>
      <c r="I10" s="5"/>
      <c r="J10" s="5"/>
      <c r="K10" s="5"/>
      <c r="L10" s="2"/>
      <c r="M10" s="2"/>
      <c r="N10" s="7"/>
      <c r="O10" s="6"/>
      <c r="P10" s="6"/>
      <c r="Q10" s="5"/>
    </row>
    <row r="11" spans="1:17" ht="60" customHeight="1">
      <c r="B11" s="5"/>
      <c r="C11" s="2"/>
      <c r="D11" s="5"/>
      <c r="E11" s="5"/>
      <c r="F11" s="5"/>
      <c r="G11" s="5"/>
      <c r="H11" s="5"/>
      <c r="I11" s="5"/>
      <c r="J11" s="5"/>
      <c r="K11" s="5"/>
      <c r="L11" s="2"/>
      <c r="M11" s="2"/>
      <c r="N11" s="7"/>
      <c r="O11" s="6"/>
      <c r="P11" s="6"/>
      <c r="Q11" s="5"/>
    </row>
    <row r="12" spans="1:17" ht="60" customHeight="1">
      <c r="B12" s="5"/>
      <c r="C12" s="2"/>
      <c r="D12" s="5"/>
      <c r="E12" s="5"/>
      <c r="F12" s="5"/>
      <c r="G12" s="5"/>
      <c r="H12" s="5"/>
      <c r="I12" s="5"/>
      <c r="J12" s="5"/>
      <c r="K12" s="5"/>
      <c r="L12" s="2"/>
      <c r="M12" s="2"/>
      <c r="N12" s="7"/>
      <c r="O12" s="6"/>
      <c r="P12" s="6"/>
      <c r="Q12" s="5"/>
    </row>
    <row r="13" spans="1:17" ht="60" customHeight="1">
      <c r="B13" s="5"/>
      <c r="C13" s="2"/>
      <c r="D13" s="5"/>
      <c r="E13" s="5"/>
      <c r="F13" s="5"/>
      <c r="G13" s="5"/>
      <c r="H13" s="5"/>
      <c r="I13" s="5"/>
      <c r="J13" s="5"/>
      <c r="K13" s="5"/>
      <c r="L13" s="2"/>
      <c r="M13" s="2"/>
      <c r="N13" s="7"/>
      <c r="O13" s="6"/>
      <c r="P13" s="6"/>
      <c r="Q13" s="5"/>
    </row>
    <row r="14" spans="1:17" ht="60" customHeight="1">
      <c r="B14" s="5"/>
      <c r="C14" s="2"/>
      <c r="D14" s="5"/>
      <c r="E14" s="5"/>
      <c r="F14" s="5"/>
      <c r="G14" s="5"/>
      <c r="H14" s="5"/>
      <c r="I14" s="5"/>
      <c r="J14" s="5"/>
      <c r="K14" s="5"/>
      <c r="L14" s="2"/>
      <c r="M14" s="2"/>
      <c r="N14" s="7"/>
      <c r="O14" s="6"/>
      <c r="P14" s="6"/>
      <c r="Q14" s="5"/>
    </row>
    <row r="15" spans="1:17" ht="60" customHeight="1">
      <c r="B15" s="5"/>
      <c r="C15" s="2"/>
      <c r="D15" s="5"/>
      <c r="E15" s="5"/>
      <c r="F15" s="5"/>
      <c r="G15" s="5"/>
      <c r="H15" s="5"/>
      <c r="I15" s="5"/>
      <c r="J15" s="5"/>
      <c r="K15" s="5"/>
      <c r="L15" s="2"/>
      <c r="M15" s="2"/>
      <c r="N15" s="7"/>
      <c r="O15" s="6"/>
      <c r="P15" s="6"/>
      <c r="Q15" s="5"/>
    </row>
    <row r="16" spans="1:17" ht="60" customHeight="1">
      <c r="B16" s="5"/>
      <c r="C16" s="2"/>
      <c r="D16" s="5"/>
      <c r="E16" s="5"/>
      <c r="F16" s="5"/>
      <c r="G16" s="5"/>
      <c r="H16" s="5"/>
      <c r="I16" s="5"/>
      <c r="J16" s="5"/>
      <c r="K16" s="5"/>
      <c r="L16" s="2"/>
      <c r="M16" s="2"/>
      <c r="N16" s="7"/>
      <c r="O16" s="6"/>
      <c r="P16" s="6"/>
      <c r="Q16" s="5"/>
    </row>
    <row r="17" spans="2:17" ht="60" customHeight="1">
      <c r="B17" s="5"/>
      <c r="C17" s="2"/>
      <c r="D17" s="5"/>
      <c r="E17" s="5"/>
      <c r="F17" s="5"/>
      <c r="G17" s="5"/>
      <c r="H17" s="5"/>
      <c r="I17" s="5"/>
      <c r="J17" s="5"/>
      <c r="K17" s="5"/>
      <c r="L17" s="2"/>
      <c r="M17" s="2"/>
      <c r="N17" s="7"/>
      <c r="O17" s="6"/>
      <c r="P17" s="6"/>
      <c r="Q17" s="5"/>
    </row>
    <row r="18" spans="2:17" ht="60" customHeight="1">
      <c r="B18" s="5"/>
      <c r="C18" s="2"/>
      <c r="D18" s="5"/>
      <c r="E18" s="5"/>
      <c r="F18" s="5"/>
      <c r="G18" s="5"/>
      <c r="H18" s="5"/>
      <c r="I18" s="5"/>
      <c r="J18" s="5"/>
      <c r="K18" s="5"/>
      <c r="L18" s="2"/>
      <c r="M18" s="2"/>
      <c r="N18" s="7"/>
      <c r="O18" s="6"/>
      <c r="P18" s="6"/>
      <c r="Q18" s="5"/>
    </row>
    <row r="19" spans="2:17" ht="60" customHeight="1">
      <c r="B19" s="5"/>
      <c r="C19" s="2"/>
      <c r="D19" s="5"/>
      <c r="E19" s="5"/>
      <c r="F19" s="5"/>
      <c r="G19" s="5"/>
      <c r="H19" s="5"/>
      <c r="I19" s="5"/>
      <c r="J19" s="5"/>
      <c r="K19" s="5"/>
      <c r="L19" s="2"/>
      <c r="M19" s="2"/>
      <c r="N19" s="7"/>
      <c r="O19" s="6"/>
      <c r="P19" s="6"/>
      <c r="Q19" s="5"/>
    </row>
    <row r="20" spans="2:17" ht="60" customHeight="1">
      <c r="B20" s="5"/>
      <c r="C20" s="2"/>
      <c r="D20" s="5"/>
      <c r="E20" s="5"/>
      <c r="F20" s="5"/>
      <c r="G20" s="5"/>
      <c r="H20" s="5"/>
      <c r="I20" s="5"/>
      <c r="J20" s="5"/>
      <c r="K20" s="5"/>
      <c r="L20" s="2"/>
      <c r="M20" s="2"/>
      <c r="N20" s="7"/>
      <c r="O20" s="6"/>
      <c r="P20" s="6"/>
      <c r="Q20" s="5"/>
    </row>
    <row r="21" spans="2:17" ht="60" customHeight="1">
      <c r="B21" s="5"/>
      <c r="C21" s="2"/>
      <c r="D21" s="5"/>
      <c r="E21" s="5"/>
      <c r="F21" s="5"/>
      <c r="G21" s="5"/>
      <c r="H21" s="5"/>
      <c r="I21" s="5"/>
      <c r="J21" s="5"/>
      <c r="K21" s="5"/>
      <c r="L21" s="2"/>
      <c r="M21" s="2"/>
      <c r="N21" s="7"/>
      <c r="O21" s="6"/>
      <c r="P21" s="6"/>
      <c r="Q21" s="5"/>
    </row>
    <row r="22" spans="2:17" ht="60" customHeight="1">
      <c r="B22" s="5"/>
      <c r="C22" s="2"/>
      <c r="D22" s="5"/>
      <c r="E22" s="5"/>
      <c r="F22" s="5"/>
      <c r="G22" s="5"/>
      <c r="H22" s="5"/>
      <c r="I22" s="5"/>
      <c r="J22" s="5"/>
      <c r="K22" s="5"/>
      <c r="L22" s="2"/>
      <c r="M22" s="2"/>
      <c r="N22" s="7"/>
      <c r="O22" s="6"/>
      <c r="P22" s="6"/>
      <c r="Q22" s="5"/>
    </row>
    <row r="23" spans="2:17" ht="60" customHeight="1">
      <c r="B23" s="5"/>
      <c r="C23" s="2"/>
      <c r="D23" s="5"/>
      <c r="E23" s="5"/>
      <c r="F23" s="5"/>
      <c r="G23" s="5"/>
      <c r="H23" s="5"/>
      <c r="I23" s="5"/>
      <c r="J23" s="5"/>
      <c r="K23" s="5"/>
      <c r="L23" s="2"/>
      <c r="M23" s="2"/>
      <c r="N23" s="7"/>
      <c r="O23" s="6"/>
      <c r="P23" s="6"/>
      <c r="Q23" s="5"/>
    </row>
    <row r="24" spans="2:17" ht="60" customHeight="1">
      <c r="B24" s="5"/>
      <c r="C24" s="2"/>
      <c r="D24" s="5"/>
      <c r="E24" s="5"/>
      <c r="F24" s="5"/>
      <c r="G24" s="5"/>
      <c r="H24" s="5"/>
      <c r="I24" s="5"/>
      <c r="J24" s="5"/>
      <c r="K24" s="5"/>
      <c r="L24" s="2"/>
      <c r="M24" s="2"/>
      <c r="N24" s="7"/>
      <c r="O24" s="6"/>
      <c r="P24" s="6"/>
      <c r="Q24" s="5"/>
    </row>
    <row r="25" spans="2:17" ht="60" customHeight="1">
      <c r="B25" s="5"/>
      <c r="C25" s="2"/>
      <c r="D25" s="5"/>
      <c r="E25" s="5"/>
      <c r="F25" s="5"/>
      <c r="G25" s="5"/>
      <c r="H25" s="5"/>
      <c r="I25" s="5"/>
      <c r="J25" s="5"/>
      <c r="K25" s="5"/>
      <c r="L25" s="2"/>
      <c r="M25" s="2"/>
      <c r="N25" s="7"/>
      <c r="O25" s="6"/>
      <c r="P25" s="6"/>
      <c r="Q25" s="5"/>
    </row>
    <row r="26" spans="2:17" ht="60" customHeight="1">
      <c r="B26" s="5"/>
      <c r="C26" s="2"/>
      <c r="D26" s="5"/>
      <c r="E26" s="5"/>
      <c r="F26" s="5"/>
      <c r="G26" s="5"/>
      <c r="H26" s="5"/>
      <c r="I26" s="5"/>
      <c r="J26" s="5"/>
      <c r="K26" s="5"/>
      <c r="L26" s="2"/>
      <c r="M26" s="2"/>
      <c r="N26" s="7"/>
      <c r="O26" s="6"/>
      <c r="P26" s="6"/>
      <c r="Q26" s="5"/>
    </row>
    <row r="27" spans="2:17" ht="60" customHeight="1">
      <c r="B27" s="5"/>
      <c r="C27" s="2"/>
      <c r="D27" s="5"/>
      <c r="E27" s="5"/>
      <c r="F27" s="5"/>
      <c r="G27" s="5"/>
      <c r="H27" s="5"/>
      <c r="I27" s="5"/>
      <c r="J27" s="5"/>
      <c r="K27" s="5"/>
      <c r="L27" s="2"/>
      <c r="M27" s="2"/>
      <c r="N27" s="7"/>
      <c r="O27" s="6"/>
      <c r="P27" s="6"/>
      <c r="Q27" s="5"/>
    </row>
    <row r="28" spans="2:17" ht="60" customHeight="1">
      <c r="B28" s="5"/>
      <c r="C28" s="2"/>
      <c r="D28" s="5"/>
      <c r="E28" s="5"/>
      <c r="F28" s="5"/>
      <c r="G28" s="5"/>
      <c r="H28" s="5"/>
      <c r="I28" s="5"/>
      <c r="J28" s="5"/>
      <c r="K28" s="5"/>
      <c r="L28" s="2"/>
      <c r="M28" s="2"/>
      <c r="N28" s="7"/>
      <c r="O28" s="6"/>
      <c r="P28" s="6"/>
      <c r="Q28" s="5"/>
    </row>
    <row r="29" spans="2:17" ht="60" customHeight="1">
      <c r="B29" s="5"/>
      <c r="C29" s="2"/>
      <c r="D29" s="5"/>
      <c r="E29" s="5"/>
      <c r="F29" s="5"/>
      <c r="G29" s="5"/>
      <c r="H29" s="5"/>
      <c r="I29" s="5"/>
      <c r="J29" s="5"/>
      <c r="K29" s="5"/>
      <c r="L29" s="2"/>
      <c r="M29" s="2"/>
      <c r="N29" s="7"/>
      <c r="O29" s="6"/>
      <c r="P29" s="6"/>
      <c r="Q29" s="5"/>
    </row>
    <row r="30" spans="2:17" ht="60" customHeight="1">
      <c r="B30" s="5"/>
      <c r="C30" s="2"/>
      <c r="D30" s="5"/>
      <c r="E30" s="5"/>
      <c r="F30" s="5"/>
      <c r="G30" s="5"/>
      <c r="H30" s="5"/>
      <c r="I30" s="5"/>
      <c r="J30" s="5"/>
      <c r="K30" s="5"/>
      <c r="L30" s="2"/>
      <c r="M30" s="2"/>
      <c r="N30" s="7"/>
      <c r="O30" s="6"/>
      <c r="P30" s="6"/>
      <c r="Q30" s="5"/>
    </row>
    <row r="31" spans="2:17" ht="60" customHeight="1">
      <c r="B31" s="5"/>
      <c r="C31" s="2"/>
      <c r="D31" s="5"/>
      <c r="E31" s="5"/>
      <c r="F31" s="5"/>
      <c r="G31" s="5"/>
      <c r="H31" s="5"/>
      <c r="I31" s="5"/>
      <c r="J31" s="5"/>
      <c r="K31" s="5"/>
      <c r="L31" s="2"/>
      <c r="M31" s="2"/>
      <c r="N31" s="7"/>
      <c r="O31" s="6"/>
      <c r="P31" s="6"/>
      <c r="Q31" s="5"/>
    </row>
    <row r="32" spans="2:17" ht="60" customHeight="1">
      <c r="B32" s="5"/>
      <c r="C32" s="2"/>
      <c r="D32" s="5"/>
      <c r="E32" s="5"/>
      <c r="F32" s="5"/>
      <c r="G32" s="5"/>
      <c r="H32" s="5"/>
      <c r="I32" s="5"/>
      <c r="J32" s="5"/>
      <c r="K32" s="5"/>
      <c r="L32" s="2"/>
      <c r="M32" s="2"/>
      <c r="N32" s="7"/>
      <c r="O32" s="6"/>
      <c r="P32" s="6"/>
      <c r="Q32" s="5"/>
    </row>
    <row r="33" spans="2:17" ht="60" customHeight="1">
      <c r="B33" s="5"/>
      <c r="C33" s="2"/>
      <c r="D33" s="5"/>
      <c r="E33" s="5"/>
      <c r="F33" s="5"/>
      <c r="G33" s="5"/>
      <c r="H33" s="5"/>
      <c r="I33" s="5"/>
      <c r="J33" s="5"/>
      <c r="K33" s="5"/>
      <c r="L33" s="2"/>
      <c r="M33" s="2"/>
      <c r="N33" s="7"/>
      <c r="O33" s="6"/>
      <c r="P33" s="6"/>
      <c r="Q33" s="5"/>
    </row>
  </sheetData>
  <phoneticPr fontId="2"/>
  <pageMargins left="0.35433070866141703" right="0.39370078740157499" top="0.59055118110236204" bottom="0.39370078740157499" header="0.196850393700787" footer="0.196850393700787"/>
  <pageSetup paperSize="9" scale="88" fitToHeight="20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showGridLines="0" zoomScale="85" zoomScaleNormal="85" workbookViewId="0">
      <pane ySplit="1" topLeftCell="A2" activePane="bottomLeft" state="frozen"/>
      <selection pane="bottomLeft" activeCell="A2" sqref="A2:B11"/>
    </sheetView>
  </sheetViews>
  <sheetFormatPr defaultRowHeight="13.2"/>
  <cols>
    <col min="1" max="1" width="35.6640625" customWidth="1"/>
    <col min="2" max="2" width="11.88671875" bestFit="1" customWidth="1"/>
  </cols>
  <sheetData>
    <row r="1" spans="1:2">
      <c r="A1" s="41" t="s">
        <v>1293</v>
      </c>
      <c r="B1" s="41" t="s">
        <v>1294</v>
      </c>
    </row>
    <row r="2" spans="1:2">
      <c r="A2" t="s">
        <v>2197</v>
      </c>
      <c r="B2">
        <v>900000010</v>
      </c>
    </row>
    <row r="3" spans="1:2">
      <c r="A3" t="s">
        <v>2198</v>
      </c>
      <c r="B3">
        <v>900000020</v>
      </c>
    </row>
    <row r="4" spans="1:2">
      <c r="A4" t="s">
        <v>2191</v>
      </c>
      <c r="B4">
        <v>900000030</v>
      </c>
    </row>
    <row r="5" spans="1:2">
      <c r="A5" t="s">
        <v>2192</v>
      </c>
      <c r="B5">
        <v>900000040</v>
      </c>
    </row>
    <row r="6" spans="1:2">
      <c r="A6" t="s">
        <v>2196</v>
      </c>
      <c r="B6">
        <v>900002001</v>
      </c>
    </row>
    <row r="7" spans="1:2">
      <c r="A7" t="s">
        <v>2199</v>
      </c>
      <c r="B7">
        <v>900002002</v>
      </c>
    </row>
    <row r="8" spans="1:2">
      <c r="A8" t="s">
        <v>2200</v>
      </c>
      <c r="B8">
        <v>900002003</v>
      </c>
    </row>
    <row r="9" spans="1:2">
      <c r="A9" t="s">
        <v>2195</v>
      </c>
      <c r="B9">
        <v>900002004</v>
      </c>
    </row>
    <row r="10" spans="1:2">
      <c r="A10" t="s">
        <v>2193</v>
      </c>
      <c r="B10">
        <v>900009001</v>
      </c>
    </row>
    <row r="11" spans="1:2">
      <c r="A11" t="s">
        <v>2194</v>
      </c>
      <c r="B11">
        <v>900009002</v>
      </c>
    </row>
  </sheetData>
  <phoneticPr fontId="2"/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94"/>
  <sheetViews>
    <sheetView showGridLines="0" topLeftCell="F1" workbookViewId="0">
      <pane ySplit="3" topLeftCell="A580" activePane="bottomLeft" state="frozen"/>
      <selection activeCell="F1" sqref="F1"/>
      <selection pane="bottomLeft" activeCell="J598" sqref="J598"/>
    </sheetView>
  </sheetViews>
  <sheetFormatPr defaultColWidth="2" defaultRowHeight="10.8"/>
  <cols>
    <col min="1" max="1" width="3.77734375" style="14" bestFit="1" customWidth="1"/>
    <col min="2" max="2" width="9.6640625" style="14" bestFit="1" customWidth="1"/>
    <col min="3" max="3" width="24.44140625" style="14" customWidth="1"/>
    <col min="4" max="4" width="9.44140625" style="14" bestFit="1" customWidth="1"/>
    <col min="5" max="5" width="16.33203125" style="14" customWidth="1"/>
    <col min="6" max="6" width="47.21875" style="14" bestFit="1" customWidth="1"/>
    <col min="7" max="7" width="10.88671875" style="14" customWidth="1"/>
    <col min="8" max="8" width="23.77734375" style="14" customWidth="1"/>
    <col min="9" max="257" width="2" style="14"/>
    <col min="258" max="258" width="3.77734375" style="14" bestFit="1" customWidth="1"/>
    <col min="259" max="259" width="9.6640625" style="14" bestFit="1" customWidth="1"/>
    <col min="260" max="260" width="24.44140625" style="14" customWidth="1"/>
    <col min="261" max="261" width="9.44140625" style="14" bestFit="1" customWidth="1"/>
    <col min="262" max="262" width="16.33203125" style="14" customWidth="1"/>
    <col min="263" max="263" width="47.21875" style="14" bestFit="1" customWidth="1"/>
    <col min="264" max="264" width="20.109375" style="14" customWidth="1"/>
    <col min="265" max="513" width="2" style="14"/>
    <col min="514" max="514" width="3.77734375" style="14" bestFit="1" customWidth="1"/>
    <col min="515" max="515" width="9.6640625" style="14" bestFit="1" customWidth="1"/>
    <col min="516" max="516" width="24.44140625" style="14" customWidth="1"/>
    <col min="517" max="517" width="9.44140625" style="14" bestFit="1" customWidth="1"/>
    <col min="518" max="518" width="16.33203125" style="14" customWidth="1"/>
    <col min="519" max="519" width="47.21875" style="14" bestFit="1" customWidth="1"/>
    <col min="520" max="520" width="20.109375" style="14" customWidth="1"/>
    <col min="521" max="769" width="2" style="14"/>
    <col min="770" max="770" width="3.77734375" style="14" bestFit="1" customWidth="1"/>
    <col min="771" max="771" width="9.6640625" style="14" bestFit="1" customWidth="1"/>
    <col min="772" max="772" width="24.44140625" style="14" customWidth="1"/>
    <col min="773" max="773" width="9.44140625" style="14" bestFit="1" customWidth="1"/>
    <col min="774" max="774" width="16.33203125" style="14" customWidth="1"/>
    <col min="775" max="775" width="47.21875" style="14" bestFit="1" customWidth="1"/>
    <col min="776" max="776" width="20.109375" style="14" customWidth="1"/>
    <col min="777" max="1025" width="2" style="14"/>
    <col min="1026" max="1026" width="3.77734375" style="14" bestFit="1" customWidth="1"/>
    <col min="1027" max="1027" width="9.6640625" style="14" bestFit="1" customWidth="1"/>
    <col min="1028" max="1028" width="24.44140625" style="14" customWidth="1"/>
    <col min="1029" max="1029" width="9.44140625" style="14" bestFit="1" customWidth="1"/>
    <col min="1030" max="1030" width="16.33203125" style="14" customWidth="1"/>
    <col min="1031" max="1031" width="47.21875" style="14" bestFit="1" customWidth="1"/>
    <col min="1032" max="1032" width="20.109375" style="14" customWidth="1"/>
    <col min="1033" max="1281" width="2" style="14"/>
    <col min="1282" max="1282" width="3.77734375" style="14" bestFit="1" customWidth="1"/>
    <col min="1283" max="1283" width="9.6640625" style="14" bestFit="1" customWidth="1"/>
    <col min="1284" max="1284" width="24.44140625" style="14" customWidth="1"/>
    <col min="1285" max="1285" width="9.44140625" style="14" bestFit="1" customWidth="1"/>
    <col min="1286" max="1286" width="16.33203125" style="14" customWidth="1"/>
    <col min="1287" max="1287" width="47.21875" style="14" bestFit="1" customWidth="1"/>
    <col min="1288" max="1288" width="20.109375" style="14" customWidth="1"/>
    <col min="1289" max="1537" width="2" style="14"/>
    <col min="1538" max="1538" width="3.77734375" style="14" bestFit="1" customWidth="1"/>
    <col min="1539" max="1539" width="9.6640625" style="14" bestFit="1" customWidth="1"/>
    <col min="1540" max="1540" width="24.44140625" style="14" customWidth="1"/>
    <col min="1541" max="1541" width="9.44140625" style="14" bestFit="1" customWidth="1"/>
    <col min="1542" max="1542" width="16.33203125" style="14" customWidth="1"/>
    <col min="1543" max="1543" width="47.21875" style="14" bestFit="1" customWidth="1"/>
    <col min="1544" max="1544" width="20.109375" style="14" customWidth="1"/>
    <col min="1545" max="1793" width="2" style="14"/>
    <col min="1794" max="1794" width="3.77734375" style="14" bestFit="1" customWidth="1"/>
    <col min="1795" max="1795" width="9.6640625" style="14" bestFit="1" customWidth="1"/>
    <col min="1796" max="1796" width="24.44140625" style="14" customWidth="1"/>
    <col min="1797" max="1797" width="9.44140625" style="14" bestFit="1" customWidth="1"/>
    <col min="1798" max="1798" width="16.33203125" style="14" customWidth="1"/>
    <col min="1799" max="1799" width="47.21875" style="14" bestFit="1" customWidth="1"/>
    <col min="1800" max="1800" width="20.109375" style="14" customWidth="1"/>
    <col min="1801" max="2049" width="2" style="14"/>
    <col min="2050" max="2050" width="3.77734375" style="14" bestFit="1" customWidth="1"/>
    <col min="2051" max="2051" width="9.6640625" style="14" bestFit="1" customWidth="1"/>
    <col min="2052" max="2052" width="24.44140625" style="14" customWidth="1"/>
    <col min="2053" max="2053" width="9.44140625" style="14" bestFit="1" customWidth="1"/>
    <col min="2054" max="2054" width="16.33203125" style="14" customWidth="1"/>
    <col min="2055" max="2055" width="47.21875" style="14" bestFit="1" customWidth="1"/>
    <col min="2056" max="2056" width="20.109375" style="14" customWidth="1"/>
    <col min="2057" max="2305" width="2" style="14"/>
    <col min="2306" max="2306" width="3.77734375" style="14" bestFit="1" customWidth="1"/>
    <col min="2307" max="2307" width="9.6640625" style="14" bestFit="1" customWidth="1"/>
    <col min="2308" max="2308" width="24.44140625" style="14" customWidth="1"/>
    <col min="2309" max="2309" width="9.44140625" style="14" bestFit="1" customWidth="1"/>
    <col min="2310" max="2310" width="16.33203125" style="14" customWidth="1"/>
    <col min="2311" max="2311" width="47.21875" style="14" bestFit="1" customWidth="1"/>
    <col min="2312" max="2312" width="20.109375" style="14" customWidth="1"/>
    <col min="2313" max="2561" width="2" style="14"/>
    <col min="2562" max="2562" width="3.77734375" style="14" bestFit="1" customWidth="1"/>
    <col min="2563" max="2563" width="9.6640625" style="14" bestFit="1" customWidth="1"/>
    <col min="2564" max="2564" width="24.44140625" style="14" customWidth="1"/>
    <col min="2565" max="2565" width="9.44140625" style="14" bestFit="1" customWidth="1"/>
    <col min="2566" max="2566" width="16.33203125" style="14" customWidth="1"/>
    <col min="2567" max="2567" width="47.21875" style="14" bestFit="1" customWidth="1"/>
    <col min="2568" max="2568" width="20.109375" style="14" customWidth="1"/>
    <col min="2569" max="2817" width="2" style="14"/>
    <col min="2818" max="2818" width="3.77734375" style="14" bestFit="1" customWidth="1"/>
    <col min="2819" max="2819" width="9.6640625" style="14" bestFit="1" customWidth="1"/>
    <col min="2820" max="2820" width="24.44140625" style="14" customWidth="1"/>
    <col min="2821" max="2821" width="9.44140625" style="14" bestFit="1" customWidth="1"/>
    <col min="2822" max="2822" width="16.33203125" style="14" customWidth="1"/>
    <col min="2823" max="2823" width="47.21875" style="14" bestFit="1" customWidth="1"/>
    <col min="2824" max="2824" width="20.109375" style="14" customWidth="1"/>
    <col min="2825" max="3073" width="2" style="14"/>
    <col min="3074" max="3074" width="3.77734375" style="14" bestFit="1" customWidth="1"/>
    <col min="3075" max="3075" width="9.6640625" style="14" bestFit="1" customWidth="1"/>
    <col min="3076" max="3076" width="24.44140625" style="14" customWidth="1"/>
    <col min="3077" max="3077" width="9.44140625" style="14" bestFit="1" customWidth="1"/>
    <col min="3078" max="3078" width="16.33203125" style="14" customWidth="1"/>
    <col min="3079" max="3079" width="47.21875" style="14" bestFit="1" customWidth="1"/>
    <col min="3080" max="3080" width="20.109375" style="14" customWidth="1"/>
    <col min="3081" max="3329" width="2" style="14"/>
    <col min="3330" max="3330" width="3.77734375" style="14" bestFit="1" customWidth="1"/>
    <col min="3331" max="3331" width="9.6640625" style="14" bestFit="1" customWidth="1"/>
    <col min="3332" max="3332" width="24.44140625" style="14" customWidth="1"/>
    <col min="3333" max="3333" width="9.44140625" style="14" bestFit="1" customWidth="1"/>
    <col min="3334" max="3334" width="16.33203125" style="14" customWidth="1"/>
    <col min="3335" max="3335" width="47.21875" style="14" bestFit="1" customWidth="1"/>
    <col min="3336" max="3336" width="20.109375" style="14" customWidth="1"/>
    <col min="3337" max="3585" width="2" style="14"/>
    <col min="3586" max="3586" width="3.77734375" style="14" bestFit="1" customWidth="1"/>
    <col min="3587" max="3587" width="9.6640625" style="14" bestFit="1" customWidth="1"/>
    <col min="3588" max="3588" width="24.44140625" style="14" customWidth="1"/>
    <col min="3589" max="3589" width="9.44140625" style="14" bestFit="1" customWidth="1"/>
    <col min="3590" max="3590" width="16.33203125" style="14" customWidth="1"/>
    <col min="3591" max="3591" width="47.21875" style="14" bestFit="1" customWidth="1"/>
    <col min="3592" max="3592" width="20.109375" style="14" customWidth="1"/>
    <col min="3593" max="3841" width="2" style="14"/>
    <col min="3842" max="3842" width="3.77734375" style="14" bestFit="1" customWidth="1"/>
    <col min="3843" max="3843" width="9.6640625" style="14" bestFit="1" customWidth="1"/>
    <col min="3844" max="3844" width="24.44140625" style="14" customWidth="1"/>
    <col min="3845" max="3845" width="9.44140625" style="14" bestFit="1" customWidth="1"/>
    <col min="3846" max="3846" width="16.33203125" style="14" customWidth="1"/>
    <col min="3847" max="3847" width="47.21875" style="14" bestFit="1" customWidth="1"/>
    <col min="3848" max="3848" width="20.109375" style="14" customWidth="1"/>
    <col min="3849" max="4097" width="2" style="14"/>
    <col min="4098" max="4098" width="3.77734375" style="14" bestFit="1" customWidth="1"/>
    <col min="4099" max="4099" width="9.6640625" style="14" bestFit="1" customWidth="1"/>
    <col min="4100" max="4100" width="24.44140625" style="14" customWidth="1"/>
    <col min="4101" max="4101" width="9.44140625" style="14" bestFit="1" customWidth="1"/>
    <col min="4102" max="4102" width="16.33203125" style="14" customWidth="1"/>
    <col min="4103" max="4103" width="47.21875" style="14" bestFit="1" customWidth="1"/>
    <col min="4104" max="4104" width="20.109375" style="14" customWidth="1"/>
    <col min="4105" max="4353" width="2" style="14"/>
    <col min="4354" max="4354" width="3.77734375" style="14" bestFit="1" customWidth="1"/>
    <col min="4355" max="4355" width="9.6640625" style="14" bestFit="1" customWidth="1"/>
    <col min="4356" max="4356" width="24.44140625" style="14" customWidth="1"/>
    <col min="4357" max="4357" width="9.44140625" style="14" bestFit="1" customWidth="1"/>
    <col min="4358" max="4358" width="16.33203125" style="14" customWidth="1"/>
    <col min="4359" max="4359" width="47.21875" style="14" bestFit="1" customWidth="1"/>
    <col min="4360" max="4360" width="20.109375" style="14" customWidth="1"/>
    <col min="4361" max="4609" width="2" style="14"/>
    <col min="4610" max="4610" width="3.77734375" style="14" bestFit="1" customWidth="1"/>
    <col min="4611" max="4611" width="9.6640625" style="14" bestFit="1" customWidth="1"/>
    <col min="4612" max="4612" width="24.44140625" style="14" customWidth="1"/>
    <col min="4613" max="4613" width="9.44140625" style="14" bestFit="1" customWidth="1"/>
    <col min="4614" max="4614" width="16.33203125" style="14" customWidth="1"/>
    <col min="4615" max="4615" width="47.21875" style="14" bestFit="1" customWidth="1"/>
    <col min="4616" max="4616" width="20.109375" style="14" customWidth="1"/>
    <col min="4617" max="4865" width="2" style="14"/>
    <col min="4866" max="4866" width="3.77734375" style="14" bestFit="1" customWidth="1"/>
    <col min="4867" max="4867" width="9.6640625" style="14" bestFit="1" customWidth="1"/>
    <col min="4868" max="4868" width="24.44140625" style="14" customWidth="1"/>
    <col min="4869" max="4869" width="9.44140625" style="14" bestFit="1" customWidth="1"/>
    <col min="4870" max="4870" width="16.33203125" style="14" customWidth="1"/>
    <col min="4871" max="4871" width="47.21875" style="14" bestFit="1" customWidth="1"/>
    <col min="4872" max="4872" width="20.109375" style="14" customWidth="1"/>
    <col min="4873" max="5121" width="2" style="14"/>
    <col min="5122" max="5122" width="3.77734375" style="14" bestFit="1" customWidth="1"/>
    <col min="5123" max="5123" width="9.6640625" style="14" bestFit="1" customWidth="1"/>
    <col min="5124" max="5124" width="24.44140625" style="14" customWidth="1"/>
    <col min="5125" max="5125" width="9.44140625" style="14" bestFit="1" customWidth="1"/>
    <col min="5126" max="5126" width="16.33203125" style="14" customWidth="1"/>
    <col min="5127" max="5127" width="47.21875" style="14" bestFit="1" customWidth="1"/>
    <col min="5128" max="5128" width="20.109375" style="14" customWidth="1"/>
    <col min="5129" max="5377" width="2" style="14"/>
    <col min="5378" max="5378" width="3.77734375" style="14" bestFit="1" customWidth="1"/>
    <col min="5379" max="5379" width="9.6640625" style="14" bestFit="1" customWidth="1"/>
    <col min="5380" max="5380" width="24.44140625" style="14" customWidth="1"/>
    <col min="5381" max="5381" width="9.44140625" style="14" bestFit="1" customWidth="1"/>
    <col min="5382" max="5382" width="16.33203125" style="14" customWidth="1"/>
    <col min="5383" max="5383" width="47.21875" style="14" bestFit="1" customWidth="1"/>
    <col min="5384" max="5384" width="20.109375" style="14" customWidth="1"/>
    <col min="5385" max="5633" width="2" style="14"/>
    <col min="5634" max="5634" width="3.77734375" style="14" bestFit="1" customWidth="1"/>
    <col min="5635" max="5635" width="9.6640625" style="14" bestFit="1" customWidth="1"/>
    <col min="5636" max="5636" width="24.44140625" style="14" customWidth="1"/>
    <col min="5637" max="5637" width="9.44140625" style="14" bestFit="1" customWidth="1"/>
    <col min="5638" max="5638" width="16.33203125" style="14" customWidth="1"/>
    <col min="5639" max="5639" width="47.21875" style="14" bestFit="1" customWidth="1"/>
    <col min="5640" max="5640" width="20.109375" style="14" customWidth="1"/>
    <col min="5641" max="5889" width="2" style="14"/>
    <col min="5890" max="5890" width="3.77734375" style="14" bestFit="1" customWidth="1"/>
    <col min="5891" max="5891" width="9.6640625" style="14" bestFit="1" customWidth="1"/>
    <col min="5892" max="5892" width="24.44140625" style="14" customWidth="1"/>
    <col min="5893" max="5893" width="9.44140625" style="14" bestFit="1" customWidth="1"/>
    <col min="5894" max="5894" width="16.33203125" style="14" customWidth="1"/>
    <col min="5895" max="5895" width="47.21875" style="14" bestFit="1" customWidth="1"/>
    <col min="5896" max="5896" width="20.109375" style="14" customWidth="1"/>
    <col min="5897" max="6145" width="2" style="14"/>
    <col min="6146" max="6146" width="3.77734375" style="14" bestFit="1" customWidth="1"/>
    <col min="6147" max="6147" width="9.6640625" style="14" bestFit="1" customWidth="1"/>
    <col min="6148" max="6148" width="24.44140625" style="14" customWidth="1"/>
    <col min="6149" max="6149" width="9.44140625" style="14" bestFit="1" customWidth="1"/>
    <col min="6150" max="6150" width="16.33203125" style="14" customWidth="1"/>
    <col min="6151" max="6151" width="47.21875" style="14" bestFit="1" customWidth="1"/>
    <col min="6152" max="6152" width="20.109375" style="14" customWidth="1"/>
    <col min="6153" max="6401" width="2" style="14"/>
    <col min="6402" max="6402" width="3.77734375" style="14" bestFit="1" customWidth="1"/>
    <col min="6403" max="6403" width="9.6640625" style="14" bestFit="1" customWidth="1"/>
    <col min="6404" max="6404" width="24.44140625" style="14" customWidth="1"/>
    <col min="6405" max="6405" width="9.44140625" style="14" bestFit="1" customWidth="1"/>
    <col min="6406" max="6406" width="16.33203125" style="14" customWidth="1"/>
    <col min="6407" max="6407" width="47.21875" style="14" bestFit="1" customWidth="1"/>
    <col min="6408" max="6408" width="20.109375" style="14" customWidth="1"/>
    <col min="6409" max="6657" width="2" style="14"/>
    <col min="6658" max="6658" width="3.77734375" style="14" bestFit="1" customWidth="1"/>
    <col min="6659" max="6659" width="9.6640625" style="14" bestFit="1" customWidth="1"/>
    <col min="6660" max="6660" width="24.44140625" style="14" customWidth="1"/>
    <col min="6661" max="6661" width="9.44140625" style="14" bestFit="1" customWidth="1"/>
    <col min="6662" max="6662" width="16.33203125" style="14" customWidth="1"/>
    <col min="6663" max="6663" width="47.21875" style="14" bestFit="1" customWidth="1"/>
    <col min="6664" max="6664" width="20.109375" style="14" customWidth="1"/>
    <col min="6665" max="6913" width="2" style="14"/>
    <col min="6914" max="6914" width="3.77734375" style="14" bestFit="1" customWidth="1"/>
    <col min="6915" max="6915" width="9.6640625" style="14" bestFit="1" customWidth="1"/>
    <col min="6916" max="6916" width="24.44140625" style="14" customWidth="1"/>
    <col min="6917" max="6917" width="9.44140625" style="14" bestFit="1" customWidth="1"/>
    <col min="6918" max="6918" width="16.33203125" style="14" customWidth="1"/>
    <col min="6919" max="6919" width="47.21875" style="14" bestFit="1" customWidth="1"/>
    <col min="6920" max="6920" width="20.109375" style="14" customWidth="1"/>
    <col min="6921" max="7169" width="2" style="14"/>
    <col min="7170" max="7170" width="3.77734375" style="14" bestFit="1" customWidth="1"/>
    <col min="7171" max="7171" width="9.6640625" style="14" bestFit="1" customWidth="1"/>
    <col min="7172" max="7172" width="24.44140625" style="14" customWidth="1"/>
    <col min="7173" max="7173" width="9.44140625" style="14" bestFit="1" customWidth="1"/>
    <col min="7174" max="7174" width="16.33203125" style="14" customWidth="1"/>
    <col min="7175" max="7175" width="47.21875" style="14" bestFit="1" customWidth="1"/>
    <col min="7176" max="7176" width="20.109375" style="14" customWidth="1"/>
    <col min="7177" max="7425" width="2" style="14"/>
    <col min="7426" max="7426" width="3.77734375" style="14" bestFit="1" customWidth="1"/>
    <col min="7427" max="7427" width="9.6640625" style="14" bestFit="1" customWidth="1"/>
    <col min="7428" max="7428" width="24.44140625" style="14" customWidth="1"/>
    <col min="7429" max="7429" width="9.44140625" style="14" bestFit="1" customWidth="1"/>
    <col min="7430" max="7430" width="16.33203125" style="14" customWidth="1"/>
    <col min="7431" max="7431" width="47.21875" style="14" bestFit="1" customWidth="1"/>
    <col min="7432" max="7432" width="20.109375" style="14" customWidth="1"/>
    <col min="7433" max="7681" width="2" style="14"/>
    <col min="7682" max="7682" width="3.77734375" style="14" bestFit="1" customWidth="1"/>
    <col min="7683" max="7683" width="9.6640625" style="14" bestFit="1" customWidth="1"/>
    <col min="7684" max="7684" width="24.44140625" style="14" customWidth="1"/>
    <col min="7685" max="7685" width="9.44140625" style="14" bestFit="1" customWidth="1"/>
    <col min="7686" max="7686" width="16.33203125" style="14" customWidth="1"/>
    <col min="7687" max="7687" width="47.21875" style="14" bestFit="1" customWidth="1"/>
    <col min="7688" max="7688" width="20.109375" style="14" customWidth="1"/>
    <col min="7689" max="7937" width="2" style="14"/>
    <col min="7938" max="7938" width="3.77734375" style="14" bestFit="1" customWidth="1"/>
    <col min="7939" max="7939" width="9.6640625" style="14" bestFit="1" customWidth="1"/>
    <col min="7940" max="7940" width="24.44140625" style="14" customWidth="1"/>
    <col min="7941" max="7941" width="9.44140625" style="14" bestFit="1" customWidth="1"/>
    <col min="7942" max="7942" width="16.33203125" style="14" customWidth="1"/>
    <col min="7943" max="7943" width="47.21875" style="14" bestFit="1" customWidth="1"/>
    <col min="7944" max="7944" width="20.109375" style="14" customWidth="1"/>
    <col min="7945" max="8193" width="2" style="14"/>
    <col min="8194" max="8194" width="3.77734375" style="14" bestFit="1" customWidth="1"/>
    <col min="8195" max="8195" width="9.6640625" style="14" bestFit="1" customWidth="1"/>
    <col min="8196" max="8196" width="24.44140625" style="14" customWidth="1"/>
    <col min="8197" max="8197" width="9.44140625" style="14" bestFit="1" customWidth="1"/>
    <col min="8198" max="8198" width="16.33203125" style="14" customWidth="1"/>
    <col min="8199" max="8199" width="47.21875" style="14" bestFit="1" customWidth="1"/>
    <col min="8200" max="8200" width="20.109375" style="14" customWidth="1"/>
    <col min="8201" max="8449" width="2" style="14"/>
    <col min="8450" max="8450" width="3.77734375" style="14" bestFit="1" customWidth="1"/>
    <col min="8451" max="8451" width="9.6640625" style="14" bestFit="1" customWidth="1"/>
    <col min="8452" max="8452" width="24.44140625" style="14" customWidth="1"/>
    <col min="8453" max="8453" width="9.44140625" style="14" bestFit="1" customWidth="1"/>
    <col min="8454" max="8454" width="16.33203125" style="14" customWidth="1"/>
    <col min="8455" max="8455" width="47.21875" style="14" bestFit="1" customWidth="1"/>
    <col min="8456" max="8456" width="20.109375" style="14" customWidth="1"/>
    <col min="8457" max="8705" width="2" style="14"/>
    <col min="8706" max="8706" width="3.77734375" style="14" bestFit="1" customWidth="1"/>
    <col min="8707" max="8707" width="9.6640625" style="14" bestFit="1" customWidth="1"/>
    <col min="8708" max="8708" width="24.44140625" style="14" customWidth="1"/>
    <col min="8709" max="8709" width="9.44140625" style="14" bestFit="1" customWidth="1"/>
    <col min="8710" max="8710" width="16.33203125" style="14" customWidth="1"/>
    <col min="8711" max="8711" width="47.21875" style="14" bestFit="1" customWidth="1"/>
    <col min="8712" max="8712" width="20.109375" style="14" customWidth="1"/>
    <col min="8713" max="8961" width="2" style="14"/>
    <col min="8962" max="8962" width="3.77734375" style="14" bestFit="1" customWidth="1"/>
    <col min="8963" max="8963" width="9.6640625" style="14" bestFit="1" customWidth="1"/>
    <col min="8964" max="8964" width="24.44140625" style="14" customWidth="1"/>
    <col min="8965" max="8965" width="9.44140625" style="14" bestFit="1" customWidth="1"/>
    <col min="8966" max="8966" width="16.33203125" style="14" customWidth="1"/>
    <col min="8967" max="8967" width="47.21875" style="14" bestFit="1" customWidth="1"/>
    <col min="8968" max="8968" width="20.109375" style="14" customWidth="1"/>
    <col min="8969" max="9217" width="2" style="14"/>
    <col min="9218" max="9218" width="3.77734375" style="14" bestFit="1" customWidth="1"/>
    <col min="9219" max="9219" width="9.6640625" style="14" bestFit="1" customWidth="1"/>
    <col min="9220" max="9220" width="24.44140625" style="14" customWidth="1"/>
    <col min="9221" max="9221" width="9.44140625" style="14" bestFit="1" customWidth="1"/>
    <col min="9222" max="9222" width="16.33203125" style="14" customWidth="1"/>
    <col min="9223" max="9223" width="47.21875" style="14" bestFit="1" customWidth="1"/>
    <col min="9224" max="9224" width="20.109375" style="14" customWidth="1"/>
    <col min="9225" max="9473" width="2" style="14"/>
    <col min="9474" max="9474" width="3.77734375" style="14" bestFit="1" customWidth="1"/>
    <col min="9475" max="9475" width="9.6640625" style="14" bestFit="1" customWidth="1"/>
    <col min="9476" max="9476" width="24.44140625" style="14" customWidth="1"/>
    <col min="9477" max="9477" width="9.44140625" style="14" bestFit="1" customWidth="1"/>
    <col min="9478" max="9478" width="16.33203125" style="14" customWidth="1"/>
    <col min="9479" max="9479" width="47.21875" style="14" bestFit="1" customWidth="1"/>
    <col min="9480" max="9480" width="20.109375" style="14" customWidth="1"/>
    <col min="9481" max="9729" width="2" style="14"/>
    <col min="9730" max="9730" width="3.77734375" style="14" bestFit="1" customWidth="1"/>
    <col min="9731" max="9731" width="9.6640625" style="14" bestFit="1" customWidth="1"/>
    <col min="9732" max="9732" width="24.44140625" style="14" customWidth="1"/>
    <col min="9733" max="9733" width="9.44140625" style="14" bestFit="1" customWidth="1"/>
    <col min="9734" max="9734" width="16.33203125" style="14" customWidth="1"/>
    <col min="9735" max="9735" width="47.21875" style="14" bestFit="1" customWidth="1"/>
    <col min="9736" max="9736" width="20.109375" style="14" customWidth="1"/>
    <col min="9737" max="9985" width="2" style="14"/>
    <col min="9986" max="9986" width="3.77734375" style="14" bestFit="1" customWidth="1"/>
    <col min="9987" max="9987" width="9.6640625" style="14" bestFit="1" customWidth="1"/>
    <col min="9988" max="9988" width="24.44140625" style="14" customWidth="1"/>
    <col min="9989" max="9989" width="9.44140625" style="14" bestFit="1" customWidth="1"/>
    <col min="9990" max="9990" width="16.33203125" style="14" customWidth="1"/>
    <col min="9991" max="9991" width="47.21875" style="14" bestFit="1" customWidth="1"/>
    <col min="9992" max="9992" width="20.109375" style="14" customWidth="1"/>
    <col min="9993" max="10241" width="2" style="14"/>
    <col min="10242" max="10242" width="3.77734375" style="14" bestFit="1" customWidth="1"/>
    <col min="10243" max="10243" width="9.6640625" style="14" bestFit="1" customWidth="1"/>
    <col min="10244" max="10244" width="24.44140625" style="14" customWidth="1"/>
    <col min="10245" max="10245" width="9.44140625" style="14" bestFit="1" customWidth="1"/>
    <col min="10246" max="10246" width="16.33203125" style="14" customWidth="1"/>
    <col min="10247" max="10247" width="47.21875" style="14" bestFit="1" customWidth="1"/>
    <col min="10248" max="10248" width="20.109375" style="14" customWidth="1"/>
    <col min="10249" max="10497" width="2" style="14"/>
    <col min="10498" max="10498" width="3.77734375" style="14" bestFit="1" customWidth="1"/>
    <col min="10499" max="10499" width="9.6640625" style="14" bestFit="1" customWidth="1"/>
    <col min="10500" max="10500" width="24.44140625" style="14" customWidth="1"/>
    <col min="10501" max="10501" width="9.44140625" style="14" bestFit="1" customWidth="1"/>
    <col min="10502" max="10502" width="16.33203125" style="14" customWidth="1"/>
    <col min="10503" max="10503" width="47.21875" style="14" bestFit="1" customWidth="1"/>
    <col min="10504" max="10504" width="20.109375" style="14" customWidth="1"/>
    <col min="10505" max="10753" width="2" style="14"/>
    <col min="10754" max="10754" width="3.77734375" style="14" bestFit="1" customWidth="1"/>
    <col min="10755" max="10755" width="9.6640625" style="14" bestFit="1" customWidth="1"/>
    <col min="10756" max="10756" width="24.44140625" style="14" customWidth="1"/>
    <col min="10757" max="10757" width="9.44140625" style="14" bestFit="1" customWidth="1"/>
    <col min="10758" max="10758" width="16.33203125" style="14" customWidth="1"/>
    <col min="10759" max="10759" width="47.21875" style="14" bestFit="1" customWidth="1"/>
    <col min="10760" max="10760" width="20.109375" style="14" customWidth="1"/>
    <col min="10761" max="11009" width="2" style="14"/>
    <col min="11010" max="11010" width="3.77734375" style="14" bestFit="1" customWidth="1"/>
    <col min="11011" max="11011" width="9.6640625" style="14" bestFit="1" customWidth="1"/>
    <col min="11012" max="11012" width="24.44140625" style="14" customWidth="1"/>
    <col min="11013" max="11013" width="9.44140625" style="14" bestFit="1" customWidth="1"/>
    <col min="11014" max="11014" width="16.33203125" style="14" customWidth="1"/>
    <col min="11015" max="11015" width="47.21875" style="14" bestFit="1" customWidth="1"/>
    <col min="11016" max="11016" width="20.109375" style="14" customWidth="1"/>
    <col min="11017" max="11265" width="2" style="14"/>
    <col min="11266" max="11266" width="3.77734375" style="14" bestFit="1" customWidth="1"/>
    <col min="11267" max="11267" width="9.6640625" style="14" bestFit="1" customWidth="1"/>
    <col min="11268" max="11268" width="24.44140625" style="14" customWidth="1"/>
    <col min="11269" max="11269" width="9.44140625" style="14" bestFit="1" customWidth="1"/>
    <col min="11270" max="11270" width="16.33203125" style="14" customWidth="1"/>
    <col min="11271" max="11271" width="47.21875" style="14" bestFit="1" customWidth="1"/>
    <col min="11272" max="11272" width="20.109375" style="14" customWidth="1"/>
    <col min="11273" max="11521" width="2" style="14"/>
    <col min="11522" max="11522" width="3.77734375" style="14" bestFit="1" customWidth="1"/>
    <col min="11523" max="11523" width="9.6640625" style="14" bestFit="1" customWidth="1"/>
    <col min="11524" max="11524" width="24.44140625" style="14" customWidth="1"/>
    <col min="11525" max="11525" width="9.44140625" style="14" bestFit="1" customWidth="1"/>
    <col min="11526" max="11526" width="16.33203125" style="14" customWidth="1"/>
    <col min="11527" max="11527" width="47.21875" style="14" bestFit="1" customWidth="1"/>
    <col min="11528" max="11528" width="20.109375" style="14" customWidth="1"/>
    <col min="11529" max="11777" width="2" style="14"/>
    <col min="11778" max="11778" width="3.77734375" style="14" bestFit="1" customWidth="1"/>
    <col min="11779" max="11779" width="9.6640625" style="14" bestFit="1" customWidth="1"/>
    <col min="11780" max="11780" width="24.44140625" style="14" customWidth="1"/>
    <col min="11781" max="11781" width="9.44140625" style="14" bestFit="1" customWidth="1"/>
    <col min="11782" max="11782" width="16.33203125" style="14" customWidth="1"/>
    <col min="11783" max="11783" width="47.21875" style="14" bestFit="1" customWidth="1"/>
    <col min="11784" max="11784" width="20.109375" style="14" customWidth="1"/>
    <col min="11785" max="12033" width="2" style="14"/>
    <col min="12034" max="12034" width="3.77734375" style="14" bestFit="1" customWidth="1"/>
    <col min="12035" max="12035" width="9.6640625" style="14" bestFit="1" customWidth="1"/>
    <col min="12036" max="12036" width="24.44140625" style="14" customWidth="1"/>
    <col min="12037" max="12037" width="9.44140625" style="14" bestFit="1" customWidth="1"/>
    <col min="12038" max="12038" width="16.33203125" style="14" customWidth="1"/>
    <col min="12039" max="12039" width="47.21875" style="14" bestFit="1" customWidth="1"/>
    <col min="12040" max="12040" width="20.109375" style="14" customWidth="1"/>
    <col min="12041" max="12289" width="2" style="14"/>
    <col min="12290" max="12290" width="3.77734375" style="14" bestFit="1" customWidth="1"/>
    <col min="12291" max="12291" width="9.6640625" style="14" bestFit="1" customWidth="1"/>
    <col min="12292" max="12292" width="24.44140625" style="14" customWidth="1"/>
    <col min="12293" max="12293" width="9.44140625" style="14" bestFit="1" customWidth="1"/>
    <col min="12294" max="12294" width="16.33203125" style="14" customWidth="1"/>
    <col min="12295" max="12295" width="47.21875" style="14" bestFit="1" customWidth="1"/>
    <col min="12296" max="12296" width="20.109375" style="14" customWidth="1"/>
    <col min="12297" max="12545" width="2" style="14"/>
    <col min="12546" max="12546" width="3.77734375" style="14" bestFit="1" customWidth="1"/>
    <col min="12547" max="12547" width="9.6640625" style="14" bestFit="1" customWidth="1"/>
    <col min="12548" max="12548" width="24.44140625" style="14" customWidth="1"/>
    <col min="12549" max="12549" width="9.44140625" style="14" bestFit="1" customWidth="1"/>
    <col min="12550" max="12550" width="16.33203125" style="14" customWidth="1"/>
    <col min="12551" max="12551" width="47.21875" style="14" bestFit="1" customWidth="1"/>
    <col min="12552" max="12552" width="20.109375" style="14" customWidth="1"/>
    <col min="12553" max="12801" width="2" style="14"/>
    <col min="12802" max="12802" width="3.77734375" style="14" bestFit="1" customWidth="1"/>
    <col min="12803" max="12803" width="9.6640625" style="14" bestFit="1" customWidth="1"/>
    <col min="12804" max="12804" width="24.44140625" style="14" customWidth="1"/>
    <col min="12805" max="12805" width="9.44140625" style="14" bestFit="1" customWidth="1"/>
    <col min="12806" max="12806" width="16.33203125" style="14" customWidth="1"/>
    <col min="12807" max="12807" width="47.21875" style="14" bestFit="1" customWidth="1"/>
    <col min="12808" max="12808" width="20.109375" style="14" customWidth="1"/>
    <col min="12809" max="13057" width="2" style="14"/>
    <col min="13058" max="13058" width="3.77734375" style="14" bestFit="1" customWidth="1"/>
    <col min="13059" max="13059" width="9.6640625" style="14" bestFit="1" customWidth="1"/>
    <col min="13060" max="13060" width="24.44140625" style="14" customWidth="1"/>
    <col min="13061" max="13061" width="9.44140625" style="14" bestFit="1" customWidth="1"/>
    <col min="13062" max="13062" width="16.33203125" style="14" customWidth="1"/>
    <col min="13063" max="13063" width="47.21875" style="14" bestFit="1" customWidth="1"/>
    <col min="13064" max="13064" width="20.109375" style="14" customWidth="1"/>
    <col min="13065" max="13313" width="2" style="14"/>
    <col min="13314" max="13314" width="3.77734375" style="14" bestFit="1" customWidth="1"/>
    <col min="13315" max="13315" width="9.6640625" style="14" bestFit="1" customWidth="1"/>
    <col min="13316" max="13316" width="24.44140625" style="14" customWidth="1"/>
    <col min="13317" max="13317" width="9.44140625" style="14" bestFit="1" customWidth="1"/>
    <col min="13318" max="13318" width="16.33203125" style="14" customWidth="1"/>
    <col min="13319" max="13319" width="47.21875" style="14" bestFit="1" customWidth="1"/>
    <col min="13320" max="13320" width="20.109375" style="14" customWidth="1"/>
    <col min="13321" max="13569" width="2" style="14"/>
    <col min="13570" max="13570" width="3.77734375" style="14" bestFit="1" customWidth="1"/>
    <col min="13571" max="13571" width="9.6640625" style="14" bestFit="1" customWidth="1"/>
    <col min="13572" max="13572" width="24.44140625" style="14" customWidth="1"/>
    <col min="13573" max="13573" width="9.44140625" style="14" bestFit="1" customWidth="1"/>
    <col min="13574" max="13574" width="16.33203125" style="14" customWidth="1"/>
    <col min="13575" max="13575" width="47.21875" style="14" bestFit="1" customWidth="1"/>
    <col min="13576" max="13576" width="20.109375" style="14" customWidth="1"/>
    <col min="13577" max="13825" width="2" style="14"/>
    <col min="13826" max="13826" width="3.77734375" style="14" bestFit="1" customWidth="1"/>
    <col min="13827" max="13827" width="9.6640625" style="14" bestFit="1" customWidth="1"/>
    <col min="13828" max="13828" width="24.44140625" style="14" customWidth="1"/>
    <col min="13829" max="13829" width="9.44140625" style="14" bestFit="1" customWidth="1"/>
    <col min="13830" max="13830" width="16.33203125" style="14" customWidth="1"/>
    <col min="13831" max="13831" width="47.21875" style="14" bestFit="1" customWidth="1"/>
    <col min="13832" max="13832" width="20.109375" style="14" customWidth="1"/>
    <col min="13833" max="14081" width="2" style="14"/>
    <col min="14082" max="14082" width="3.77734375" style="14" bestFit="1" customWidth="1"/>
    <col min="14083" max="14083" width="9.6640625" style="14" bestFit="1" customWidth="1"/>
    <col min="14084" max="14084" width="24.44140625" style="14" customWidth="1"/>
    <col min="14085" max="14085" width="9.44140625" style="14" bestFit="1" customWidth="1"/>
    <col min="14086" max="14086" width="16.33203125" style="14" customWidth="1"/>
    <col min="14087" max="14087" width="47.21875" style="14" bestFit="1" customWidth="1"/>
    <col min="14088" max="14088" width="20.109375" style="14" customWidth="1"/>
    <col min="14089" max="14337" width="2" style="14"/>
    <col min="14338" max="14338" width="3.77734375" style="14" bestFit="1" customWidth="1"/>
    <col min="14339" max="14339" width="9.6640625" style="14" bestFit="1" customWidth="1"/>
    <col min="14340" max="14340" width="24.44140625" style="14" customWidth="1"/>
    <col min="14341" max="14341" width="9.44140625" style="14" bestFit="1" customWidth="1"/>
    <col min="14342" max="14342" width="16.33203125" style="14" customWidth="1"/>
    <col min="14343" max="14343" width="47.21875" style="14" bestFit="1" customWidth="1"/>
    <col min="14344" max="14344" width="20.109375" style="14" customWidth="1"/>
    <col min="14345" max="14593" width="2" style="14"/>
    <col min="14594" max="14594" width="3.77734375" style="14" bestFit="1" customWidth="1"/>
    <col min="14595" max="14595" width="9.6640625" style="14" bestFit="1" customWidth="1"/>
    <col min="14596" max="14596" width="24.44140625" style="14" customWidth="1"/>
    <col min="14597" max="14597" width="9.44140625" style="14" bestFit="1" customWidth="1"/>
    <col min="14598" max="14598" width="16.33203125" style="14" customWidth="1"/>
    <col min="14599" max="14599" width="47.21875" style="14" bestFit="1" customWidth="1"/>
    <col min="14600" max="14600" width="20.109375" style="14" customWidth="1"/>
    <col min="14601" max="14849" width="2" style="14"/>
    <col min="14850" max="14850" width="3.77734375" style="14" bestFit="1" customWidth="1"/>
    <col min="14851" max="14851" width="9.6640625" style="14" bestFit="1" customWidth="1"/>
    <col min="14852" max="14852" width="24.44140625" style="14" customWidth="1"/>
    <col min="14853" max="14853" width="9.44140625" style="14" bestFit="1" customWidth="1"/>
    <col min="14854" max="14854" width="16.33203125" style="14" customWidth="1"/>
    <col min="14855" max="14855" width="47.21875" style="14" bestFit="1" customWidth="1"/>
    <col min="14856" max="14856" width="20.109375" style="14" customWidth="1"/>
    <col min="14857" max="15105" width="2" style="14"/>
    <col min="15106" max="15106" width="3.77734375" style="14" bestFit="1" customWidth="1"/>
    <col min="15107" max="15107" width="9.6640625" style="14" bestFit="1" customWidth="1"/>
    <col min="15108" max="15108" width="24.44140625" style="14" customWidth="1"/>
    <col min="15109" max="15109" width="9.44140625" style="14" bestFit="1" customWidth="1"/>
    <col min="15110" max="15110" width="16.33203125" style="14" customWidth="1"/>
    <col min="15111" max="15111" width="47.21875" style="14" bestFit="1" customWidth="1"/>
    <col min="15112" max="15112" width="20.109375" style="14" customWidth="1"/>
    <col min="15113" max="15361" width="2" style="14"/>
    <col min="15362" max="15362" width="3.77734375" style="14" bestFit="1" customWidth="1"/>
    <col min="15363" max="15363" width="9.6640625" style="14" bestFit="1" customWidth="1"/>
    <col min="15364" max="15364" width="24.44140625" style="14" customWidth="1"/>
    <col min="15365" max="15365" width="9.44140625" style="14" bestFit="1" customWidth="1"/>
    <col min="15366" max="15366" width="16.33203125" style="14" customWidth="1"/>
    <col min="15367" max="15367" width="47.21875" style="14" bestFit="1" customWidth="1"/>
    <col min="15368" max="15368" width="20.109375" style="14" customWidth="1"/>
    <col min="15369" max="15617" width="2" style="14"/>
    <col min="15618" max="15618" width="3.77734375" style="14" bestFit="1" customWidth="1"/>
    <col min="15619" max="15619" width="9.6640625" style="14" bestFit="1" customWidth="1"/>
    <col min="15620" max="15620" width="24.44140625" style="14" customWidth="1"/>
    <col min="15621" max="15621" width="9.44140625" style="14" bestFit="1" customWidth="1"/>
    <col min="15622" max="15622" width="16.33203125" style="14" customWidth="1"/>
    <col min="15623" max="15623" width="47.21875" style="14" bestFit="1" customWidth="1"/>
    <col min="15624" max="15624" width="20.109375" style="14" customWidth="1"/>
    <col min="15625" max="15873" width="2" style="14"/>
    <col min="15874" max="15874" width="3.77734375" style="14" bestFit="1" customWidth="1"/>
    <col min="15875" max="15875" width="9.6640625" style="14" bestFit="1" customWidth="1"/>
    <col min="15876" max="15876" width="24.44140625" style="14" customWidth="1"/>
    <col min="15877" max="15877" width="9.44140625" style="14" bestFit="1" customWidth="1"/>
    <col min="15878" max="15878" width="16.33203125" style="14" customWidth="1"/>
    <col min="15879" max="15879" width="47.21875" style="14" bestFit="1" customWidth="1"/>
    <col min="15880" max="15880" width="20.109375" style="14" customWidth="1"/>
    <col min="15881" max="16129" width="2" style="14"/>
    <col min="16130" max="16130" width="3.77734375" style="14" bestFit="1" customWidth="1"/>
    <col min="16131" max="16131" width="9.6640625" style="14" bestFit="1" customWidth="1"/>
    <col min="16132" max="16132" width="24.44140625" style="14" customWidth="1"/>
    <col min="16133" max="16133" width="9.44140625" style="14" bestFit="1" customWidth="1"/>
    <col min="16134" max="16134" width="16.33203125" style="14" customWidth="1"/>
    <col min="16135" max="16135" width="47.21875" style="14" bestFit="1" customWidth="1"/>
    <col min="16136" max="16136" width="20.109375" style="14" customWidth="1"/>
    <col min="16137" max="16384" width="2" style="14"/>
  </cols>
  <sheetData>
    <row r="1" spans="1:8" ht="18" customHeight="1">
      <c r="B1" s="43" t="s">
        <v>781</v>
      </c>
      <c r="D1" s="43"/>
    </row>
    <row r="2" spans="1:8" ht="11.4" thickBot="1"/>
    <row r="3" spans="1:8" ht="21.6">
      <c r="A3" s="16" t="s">
        <v>780</v>
      </c>
      <c r="B3" s="18" t="s">
        <v>1084</v>
      </c>
      <c r="C3" s="17" t="s">
        <v>779</v>
      </c>
      <c r="D3" s="19" t="s">
        <v>879</v>
      </c>
      <c r="E3" s="20" t="s">
        <v>778</v>
      </c>
      <c r="F3" s="21" t="s">
        <v>1085</v>
      </c>
      <c r="G3" s="21" t="s">
        <v>1040</v>
      </c>
      <c r="H3" s="21" t="s">
        <v>1086</v>
      </c>
    </row>
    <row r="4" spans="1:8">
      <c r="A4" s="22">
        <v>1</v>
      </c>
      <c r="B4" s="25">
        <v>111</v>
      </c>
      <c r="C4" s="24" t="s">
        <v>789</v>
      </c>
      <c r="D4" s="25">
        <v>1</v>
      </c>
      <c r="E4" s="24" t="s">
        <v>777</v>
      </c>
      <c r="F4" s="23" t="s">
        <v>776</v>
      </c>
      <c r="G4" s="23"/>
      <c r="H4" s="23" t="s">
        <v>1078</v>
      </c>
    </row>
    <row r="5" spans="1:8">
      <c r="A5" s="22">
        <v>2</v>
      </c>
      <c r="B5" s="25">
        <v>111</v>
      </c>
      <c r="C5" s="24" t="s">
        <v>789</v>
      </c>
      <c r="D5" s="25">
        <v>2</v>
      </c>
      <c r="E5" s="24" t="s">
        <v>775</v>
      </c>
      <c r="F5" s="23" t="s">
        <v>774</v>
      </c>
      <c r="G5" s="23"/>
      <c r="H5" s="23" t="s">
        <v>1078</v>
      </c>
    </row>
    <row r="6" spans="1:8">
      <c r="A6" s="22">
        <v>3</v>
      </c>
      <c r="B6" s="25">
        <v>111</v>
      </c>
      <c r="C6" s="24" t="s">
        <v>789</v>
      </c>
      <c r="D6" s="25">
        <v>3</v>
      </c>
      <c r="E6" s="24" t="s">
        <v>773</v>
      </c>
      <c r="F6" s="23" t="s">
        <v>772</v>
      </c>
      <c r="G6" s="23"/>
      <c r="H6" s="23" t="s">
        <v>1078</v>
      </c>
    </row>
    <row r="7" spans="1:8">
      <c r="A7" s="22">
        <v>4</v>
      </c>
      <c r="B7" s="25">
        <v>111</v>
      </c>
      <c r="C7" s="24" t="s">
        <v>789</v>
      </c>
      <c r="D7" s="25">
        <v>4</v>
      </c>
      <c r="E7" s="24" t="s">
        <v>771</v>
      </c>
      <c r="F7" s="23" t="s">
        <v>770</v>
      </c>
      <c r="G7" s="23"/>
      <c r="H7" s="23" t="s">
        <v>1078</v>
      </c>
    </row>
    <row r="8" spans="1:8">
      <c r="A8" s="22">
        <v>5</v>
      </c>
      <c r="B8" s="25">
        <v>111</v>
      </c>
      <c r="C8" s="24" t="s">
        <v>789</v>
      </c>
      <c r="D8" s="25">
        <v>5</v>
      </c>
      <c r="E8" s="24" t="s">
        <v>769</v>
      </c>
      <c r="F8" s="23" t="s">
        <v>768</v>
      </c>
      <c r="G8" s="23"/>
      <c r="H8" s="23" t="s">
        <v>1078</v>
      </c>
    </row>
    <row r="9" spans="1:8">
      <c r="A9" s="22">
        <v>6</v>
      </c>
      <c r="B9" s="25">
        <v>111</v>
      </c>
      <c r="C9" s="24" t="s">
        <v>789</v>
      </c>
      <c r="D9" s="25">
        <v>6</v>
      </c>
      <c r="E9" s="24" t="s">
        <v>767</v>
      </c>
      <c r="F9" s="23" t="s">
        <v>1087</v>
      </c>
      <c r="G9" s="23"/>
      <c r="H9" s="23" t="s">
        <v>1078</v>
      </c>
    </row>
    <row r="10" spans="1:8">
      <c r="A10" s="22">
        <v>7</v>
      </c>
      <c r="B10" s="25">
        <v>111</v>
      </c>
      <c r="C10" s="24" t="s">
        <v>789</v>
      </c>
      <c r="D10" s="25">
        <v>7</v>
      </c>
      <c r="E10" s="24" t="s">
        <v>766</v>
      </c>
      <c r="F10" s="23" t="s">
        <v>1088</v>
      </c>
      <c r="G10" s="23"/>
      <c r="H10" s="23" t="s">
        <v>1078</v>
      </c>
    </row>
    <row r="11" spans="1:8">
      <c r="A11" s="22">
        <v>8</v>
      </c>
      <c r="B11" s="25">
        <v>111</v>
      </c>
      <c r="C11" s="24" t="s">
        <v>789</v>
      </c>
      <c r="D11" s="25">
        <v>8</v>
      </c>
      <c r="E11" s="24" t="s">
        <v>765</v>
      </c>
      <c r="F11" s="23" t="s">
        <v>764</v>
      </c>
      <c r="G11" s="23"/>
      <c r="H11" s="23" t="s">
        <v>1078</v>
      </c>
    </row>
    <row r="12" spans="1:8">
      <c r="A12" s="22">
        <v>9</v>
      </c>
      <c r="B12" s="25">
        <v>111</v>
      </c>
      <c r="C12" s="24" t="s">
        <v>789</v>
      </c>
      <c r="D12" s="25">
        <v>9</v>
      </c>
      <c r="E12" s="24" t="s">
        <v>763</v>
      </c>
      <c r="F12" s="23" t="s">
        <v>1089</v>
      </c>
      <c r="G12" s="23"/>
      <c r="H12" s="23" t="s">
        <v>1078</v>
      </c>
    </row>
    <row r="13" spans="1:8">
      <c r="A13" s="22">
        <v>10</v>
      </c>
      <c r="B13" s="25">
        <v>111</v>
      </c>
      <c r="C13" s="24" t="s">
        <v>789</v>
      </c>
      <c r="D13" s="25">
        <v>10</v>
      </c>
      <c r="E13" s="24" t="s">
        <v>760</v>
      </c>
      <c r="F13" s="23" t="s">
        <v>759</v>
      </c>
      <c r="G13" s="23"/>
      <c r="H13" s="23" t="s">
        <v>1078</v>
      </c>
    </row>
    <row r="14" spans="1:8">
      <c r="A14" s="22">
        <v>11</v>
      </c>
      <c r="B14" s="25">
        <v>111</v>
      </c>
      <c r="C14" s="24" t="s">
        <v>789</v>
      </c>
      <c r="D14" s="25">
        <v>11</v>
      </c>
      <c r="E14" s="24" t="s">
        <v>782</v>
      </c>
      <c r="F14" s="26" t="s">
        <v>907</v>
      </c>
      <c r="G14" s="23" t="s">
        <v>1034</v>
      </c>
      <c r="H14" s="23" t="s">
        <v>1078</v>
      </c>
    </row>
    <row r="15" spans="1:8">
      <c r="A15" s="22">
        <v>12</v>
      </c>
      <c r="B15" s="25">
        <v>111</v>
      </c>
      <c r="C15" s="24" t="s">
        <v>789</v>
      </c>
      <c r="D15" s="25">
        <v>12</v>
      </c>
      <c r="E15" s="24" t="s">
        <v>758</v>
      </c>
      <c r="F15" s="23" t="s">
        <v>757</v>
      </c>
      <c r="G15" s="23"/>
      <c r="H15" s="23" t="s">
        <v>1078</v>
      </c>
    </row>
    <row r="16" spans="1:8">
      <c r="A16" s="22">
        <v>13</v>
      </c>
      <c r="B16" s="25">
        <v>111</v>
      </c>
      <c r="C16" s="24" t="s">
        <v>789</v>
      </c>
      <c r="D16" s="25">
        <v>13</v>
      </c>
      <c r="E16" s="24" t="s">
        <v>756</v>
      </c>
      <c r="F16" s="23" t="s">
        <v>755</v>
      </c>
      <c r="G16" s="23"/>
      <c r="H16" s="23" t="s">
        <v>1078</v>
      </c>
    </row>
    <row r="17" spans="1:8">
      <c r="A17" s="22">
        <v>14</v>
      </c>
      <c r="B17" s="25">
        <v>111</v>
      </c>
      <c r="C17" s="24" t="s">
        <v>789</v>
      </c>
      <c r="D17" s="25">
        <v>14</v>
      </c>
      <c r="E17" s="24" t="s">
        <v>754</v>
      </c>
      <c r="F17" s="23" t="s">
        <v>1090</v>
      </c>
      <c r="G17" s="23"/>
      <c r="H17" s="23" t="s">
        <v>1078</v>
      </c>
    </row>
    <row r="18" spans="1:8">
      <c r="A18" s="22">
        <v>15</v>
      </c>
      <c r="B18" s="25">
        <v>111</v>
      </c>
      <c r="C18" s="24" t="s">
        <v>789</v>
      </c>
      <c r="D18" s="25">
        <v>15</v>
      </c>
      <c r="E18" s="24" t="s">
        <v>753</v>
      </c>
      <c r="F18" s="23" t="s">
        <v>1091</v>
      </c>
      <c r="G18" s="23"/>
      <c r="H18" s="23" t="s">
        <v>1078</v>
      </c>
    </row>
    <row r="19" spans="1:8">
      <c r="A19" s="22">
        <v>16</v>
      </c>
      <c r="B19" s="25">
        <v>111</v>
      </c>
      <c r="C19" s="24" t="s">
        <v>789</v>
      </c>
      <c r="D19" s="25">
        <v>16</v>
      </c>
      <c r="E19" s="24" t="s">
        <v>752</v>
      </c>
      <c r="F19" s="23" t="s">
        <v>1091</v>
      </c>
      <c r="G19" s="23"/>
      <c r="H19" s="23" t="s">
        <v>1078</v>
      </c>
    </row>
    <row r="20" spans="1:8">
      <c r="A20" s="22">
        <v>17</v>
      </c>
      <c r="B20" s="25">
        <v>111</v>
      </c>
      <c r="C20" s="24" t="s">
        <v>789</v>
      </c>
      <c r="D20" s="25">
        <v>17</v>
      </c>
      <c r="E20" s="24" t="s">
        <v>751</v>
      </c>
      <c r="F20" s="23" t="s">
        <v>750</v>
      </c>
      <c r="G20" s="23"/>
      <c r="H20" s="23" t="s">
        <v>1078</v>
      </c>
    </row>
    <row r="21" spans="1:8">
      <c r="A21" s="22">
        <v>18</v>
      </c>
      <c r="B21" s="25">
        <v>111</v>
      </c>
      <c r="C21" s="24" t="s">
        <v>789</v>
      </c>
      <c r="D21" s="25">
        <v>18</v>
      </c>
      <c r="E21" s="24" t="s">
        <v>749</v>
      </c>
      <c r="F21" s="23" t="s">
        <v>748</v>
      </c>
      <c r="G21" s="23"/>
      <c r="H21" s="23" t="s">
        <v>1078</v>
      </c>
    </row>
    <row r="22" spans="1:8">
      <c r="A22" s="22">
        <v>19</v>
      </c>
      <c r="B22" s="25">
        <v>111</v>
      </c>
      <c r="C22" s="24" t="s">
        <v>789</v>
      </c>
      <c r="D22" s="25">
        <v>19</v>
      </c>
      <c r="E22" s="24" t="s">
        <v>747</v>
      </c>
      <c r="F22" s="23" t="s">
        <v>746</v>
      </c>
      <c r="G22" s="23"/>
      <c r="H22" s="23" t="s">
        <v>1078</v>
      </c>
    </row>
    <row r="23" spans="1:8">
      <c r="A23" s="22">
        <v>20</v>
      </c>
      <c r="B23" s="25">
        <v>111</v>
      </c>
      <c r="C23" s="24" t="s">
        <v>789</v>
      </c>
      <c r="D23" s="25">
        <v>20</v>
      </c>
      <c r="E23" s="24" t="s">
        <v>745</v>
      </c>
      <c r="F23" s="23" t="s">
        <v>744</v>
      </c>
      <c r="G23" s="23"/>
      <c r="H23" s="23" t="s">
        <v>1078</v>
      </c>
    </row>
    <row r="24" spans="1:8">
      <c r="A24" s="22">
        <v>21</v>
      </c>
      <c r="B24" s="25">
        <v>111</v>
      </c>
      <c r="C24" s="24" t="s">
        <v>789</v>
      </c>
      <c r="D24" s="25">
        <v>21</v>
      </c>
      <c r="E24" s="24" t="s">
        <v>743</v>
      </c>
      <c r="F24" s="23" t="s">
        <v>742</v>
      </c>
      <c r="G24" s="23"/>
      <c r="H24" s="23" t="s">
        <v>1078</v>
      </c>
    </row>
    <row r="25" spans="1:8">
      <c r="A25" s="22">
        <v>22</v>
      </c>
      <c r="B25" s="25">
        <v>111</v>
      </c>
      <c r="C25" s="24" t="s">
        <v>789</v>
      </c>
      <c r="D25" s="25">
        <v>22</v>
      </c>
      <c r="E25" s="24" t="s">
        <v>740</v>
      </c>
      <c r="F25" s="23" t="s">
        <v>1092</v>
      </c>
      <c r="G25" s="23"/>
      <c r="H25" s="23" t="s">
        <v>1078</v>
      </c>
    </row>
    <row r="26" spans="1:8">
      <c r="A26" s="22">
        <v>23</v>
      </c>
      <c r="B26" s="25">
        <v>111</v>
      </c>
      <c r="C26" s="24" t="s">
        <v>789</v>
      </c>
      <c r="D26" s="25">
        <v>23</v>
      </c>
      <c r="E26" s="24" t="s">
        <v>739</v>
      </c>
      <c r="F26" s="23" t="s">
        <v>738</v>
      </c>
      <c r="G26" s="23"/>
      <c r="H26" s="23" t="s">
        <v>1078</v>
      </c>
    </row>
    <row r="27" spans="1:8">
      <c r="A27" s="22">
        <v>24</v>
      </c>
      <c r="B27" s="25">
        <v>111</v>
      </c>
      <c r="C27" s="24" t="s">
        <v>789</v>
      </c>
      <c r="D27" s="25">
        <v>24</v>
      </c>
      <c r="E27" s="24" t="s">
        <v>737</v>
      </c>
      <c r="F27" s="23" t="s">
        <v>736</v>
      </c>
      <c r="G27" s="23"/>
      <c r="H27" s="23" t="s">
        <v>1078</v>
      </c>
    </row>
    <row r="28" spans="1:8">
      <c r="A28" s="22">
        <v>25</v>
      </c>
      <c r="B28" s="25">
        <v>111</v>
      </c>
      <c r="C28" s="24" t="s">
        <v>789</v>
      </c>
      <c r="D28" s="25">
        <v>25</v>
      </c>
      <c r="E28" s="24" t="s">
        <v>735</v>
      </c>
      <c r="F28" s="23" t="s">
        <v>734</v>
      </c>
      <c r="G28" s="23"/>
      <c r="H28" s="23" t="s">
        <v>1078</v>
      </c>
    </row>
    <row r="29" spans="1:8">
      <c r="A29" s="22">
        <v>26</v>
      </c>
      <c r="B29" s="25">
        <v>111</v>
      </c>
      <c r="C29" s="24" t="s">
        <v>789</v>
      </c>
      <c r="D29" s="25">
        <v>26</v>
      </c>
      <c r="E29" s="24" t="s">
        <v>733</v>
      </c>
      <c r="F29" s="23" t="s">
        <v>732</v>
      </c>
      <c r="G29" s="23"/>
      <c r="H29" s="23" t="s">
        <v>1078</v>
      </c>
    </row>
    <row r="30" spans="1:8">
      <c r="A30" s="22">
        <v>27</v>
      </c>
      <c r="B30" s="25">
        <v>111</v>
      </c>
      <c r="C30" s="24" t="s">
        <v>789</v>
      </c>
      <c r="D30" s="25">
        <v>27</v>
      </c>
      <c r="E30" s="24" t="s">
        <v>730</v>
      </c>
      <c r="F30" s="23" t="s">
        <v>729</v>
      </c>
      <c r="G30" s="23"/>
      <c r="H30" s="23" t="s">
        <v>1078</v>
      </c>
    </row>
    <row r="31" spans="1:8">
      <c r="A31" s="22">
        <v>28</v>
      </c>
      <c r="B31" s="25">
        <v>111</v>
      </c>
      <c r="C31" s="24" t="s">
        <v>789</v>
      </c>
      <c r="D31" s="25">
        <v>28</v>
      </c>
      <c r="E31" s="24" t="s">
        <v>728</v>
      </c>
      <c r="F31" s="26" t="s">
        <v>908</v>
      </c>
      <c r="G31" s="23"/>
      <c r="H31" s="23" t="s">
        <v>1078</v>
      </c>
    </row>
    <row r="32" spans="1:8">
      <c r="A32" s="22">
        <v>29</v>
      </c>
      <c r="B32" s="25">
        <v>111</v>
      </c>
      <c r="C32" s="24" t="s">
        <v>789</v>
      </c>
      <c r="D32" s="25">
        <v>29</v>
      </c>
      <c r="E32" s="24" t="s">
        <v>727</v>
      </c>
      <c r="F32" s="23" t="s">
        <v>300</v>
      </c>
      <c r="G32" s="23"/>
      <c r="H32" s="23" t="s">
        <v>1078</v>
      </c>
    </row>
    <row r="33" spans="1:8">
      <c r="A33" s="22">
        <v>30</v>
      </c>
      <c r="B33" s="25">
        <v>111</v>
      </c>
      <c r="C33" s="24" t="s">
        <v>789</v>
      </c>
      <c r="D33" s="25">
        <v>30</v>
      </c>
      <c r="E33" s="24" t="s">
        <v>726</v>
      </c>
      <c r="F33" s="23" t="s">
        <v>328</v>
      </c>
      <c r="G33" s="23"/>
      <c r="H33" s="23" t="s">
        <v>1078</v>
      </c>
    </row>
    <row r="34" spans="1:8">
      <c r="A34" s="22">
        <v>31</v>
      </c>
      <c r="B34" s="25">
        <v>111</v>
      </c>
      <c r="C34" s="24" t="s">
        <v>789</v>
      </c>
      <c r="D34" s="25">
        <v>31</v>
      </c>
      <c r="E34" s="24" t="s">
        <v>725</v>
      </c>
      <c r="F34" s="23" t="s">
        <v>328</v>
      </c>
      <c r="G34" s="23"/>
      <c r="H34" s="23" t="s">
        <v>1078</v>
      </c>
    </row>
    <row r="35" spans="1:8">
      <c r="A35" s="22">
        <v>32</v>
      </c>
      <c r="B35" s="25">
        <v>111</v>
      </c>
      <c r="C35" s="24" t="s">
        <v>789</v>
      </c>
      <c r="D35" s="25">
        <v>32</v>
      </c>
      <c r="E35" s="24" t="s">
        <v>724</v>
      </c>
      <c r="F35" s="23" t="s">
        <v>328</v>
      </c>
      <c r="G35" s="23"/>
      <c r="H35" s="23" t="s">
        <v>1078</v>
      </c>
    </row>
    <row r="36" spans="1:8">
      <c r="A36" s="22">
        <v>33</v>
      </c>
      <c r="B36" s="25">
        <v>111</v>
      </c>
      <c r="C36" s="24" t="s">
        <v>789</v>
      </c>
      <c r="D36" s="25">
        <v>33</v>
      </c>
      <c r="E36" s="24" t="s">
        <v>723</v>
      </c>
      <c r="F36" s="23" t="s">
        <v>328</v>
      </c>
      <c r="G36" s="23"/>
      <c r="H36" s="23" t="s">
        <v>1078</v>
      </c>
    </row>
    <row r="37" spans="1:8">
      <c r="A37" s="22">
        <v>34</v>
      </c>
      <c r="B37" s="25">
        <v>111</v>
      </c>
      <c r="C37" s="24" t="s">
        <v>789</v>
      </c>
      <c r="D37" s="25">
        <v>34</v>
      </c>
      <c r="E37" s="24" t="s">
        <v>722</v>
      </c>
      <c r="F37" s="23" t="s">
        <v>281</v>
      </c>
      <c r="G37" s="23"/>
      <c r="H37" s="23" t="s">
        <v>1078</v>
      </c>
    </row>
    <row r="38" spans="1:8">
      <c r="A38" s="22">
        <v>35</v>
      </c>
      <c r="B38" s="25">
        <v>111</v>
      </c>
      <c r="C38" s="24" t="s">
        <v>789</v>
      </c>
      <c r="D38" s="25">
        <v>35</v>
      </c>
      <c r="E38" s="24" t="s">
        <v>718</v>
      </c>
      <c r="F38" s="23" t="s">
        <v>717</v>
      </c>
      <c r="G38" s="23"/>
      <c r="H38" s="23" t="s">
        <v>1078</v>
      </c>
    </row>
    <row r="39" spans="1:8">
      <c r="A39" s="22">
        <v>36</v>
      </c>
      <c r="B39" s="25">
        <v>111</v>
      </c>
      <c r="C39" s="24" t="s">
        <v>789</v>
      </c>
      <c r="D39" s="25">
        <v>36</v>
      </c>
      <c r="E39" s="24" t="s">
        <v>716</v>
      </c>
      <c r="F39" s="26" t="s">
        <v>909</v>
      </c>
      <c r="G39" s="23"/>
      <c r="H39" s="23" t="s">
        <v>1078</v>
      </c>
    </row>
    <row r="40" spans="1:8">
      <c r="A40" s="22">
        <v>37</v>
      </c>
      <c r="B40" s="25">
        <v>111</v>
      </c>
      <c r="C40" s="24" t="s">
        <v>789</v>
      </c>
      <c r="D40" s="25">
        <v>37</v>
      </c>
      <c r="E40" s="24" t="s">
        <v>715</v>
      </c>
      <c r="F40" s="26" t="s">
        <v>910</v>
      </c>
      <c r="G40" s="23"/>
      <c r="H40" s="23" t="s">
        <v>1078</v>
      </c>
    </row>
    <row r="41" spans="1:8">
      <c r="A41" s="22">
        <v>38</v>
      </c>
      <c r="B41" s="25">
        <v>111</v>
      </c>
      <c r="C41" s="24" t="s">
        <v>789</v>
      </c>
      <c r="D41" s="25">
        <v>38</v>
      </c>
      <c r="E41" s="24" t="s">
        <v>714</v>
      </c>
      <c r="F41" s="26" t="s">
        <v>908</v>
      </c>
      <c r="G41" s="23"/>
      <c r="H41" s="23" t="s">
        <v>1078</v>
      </c>
    </row>
    <row r="42" spans="1:8">
      <c r="A42" s="22">
        <v>39</v>
      </c>
      <c r="B42" s="25">
        <v>111</v>
      </c>
      <c r="C42" s="24" t="s">
        <v>789</v>
      </c>
      <c r="D42" s="25">
        <v>39</v>
      </c>
      <c r="E42" s="24" t="s">
        <v>713</v>
      </c>
      <c r="F42" s="26" t="s">
        <v>911</v>
      </c>
      <c r="G42" s="23"/>
      <c r="H42" s="23" t="s">
        <v>1078</v>
      </c>
    </row>
    <row r="43" spans="1:8">
      <c r="A43" s="22">
        <v>40</v>
      </c>
      <c r="B43" s="25">
        <v>111</v>
      </c>
      <c r="C43" s="24" t="s">
        <v>789</v>
      </c>
      <c r="D43" s="25">
        <v>40</v>
      </c>
      <c r="E43" s="24" t="s">
        <v>712</v>
      </c>
      <c r="F43" s="26" t="s">
        <v>908</v>
      </c>
      <c r="G43" s="23"/>
      <c r="H43" s="23" t="s">
        <v>1078</v>
      </c>
    </row>
    <row r="44" spans="1:8">
      <c r="A44" s="22">
        <v>41</v>
      </c>
      <c r="B44" s="25">
        <v>111</v>
      </c>
      <c r="C44" s="24" t="s">
        <v>789</v>
      </c>
      <c r="D44" s="25">
        <v>41</v>
      </c>
      <c r="E44" s="24" t="s">
        <v>711</v>
      </c>
      <c r="F44" s="23" t="s">
        <v>710</v>
      </c>
      <c r="G44" s="23"/>
      <c r="H44" s="23" t="s">
        <v>1078</v>
      </c>
    </row>
    <row r="45" spans="1:8">
      <c r="A45" s="22">
        <v>42</v>
      </c>
      <c r="B45" s="25">
        <v>111</v>
      </c>
      <c r="C45" s="24" t="s">
        <v>789</v>
      </c>
      <c r="D45" s="25">
        <v>42</v>
      </c>
      <c r="E45" s="24" t="s">
        <v>708</v>
      </c>
      <c r="F45" s="23" t="s">
        <v>707</v>
      </c>
      <c r="G45" s="23"/>
      <c r="H45" s="23" t="s">
        <v>1078</v>
      </c>
    </row>
    <row r="46" spans="1:8">
      <c r="A46" s="22">
        <v>43</v>
      </c>
      <c r="B46" s="25">
        <v>111</v>
      </c>
      <c r="C46" s="24" t="s">
        <v>789</v>
      </c>
      <c r="D46" s="25">
        <v>43</v>
      </c>
      <c r="E46" s="24" t="s">
        <v>706</v>
      </c>
      <c r="F46" s="23" t="s">
        <v>705</v>
      </c>
      <c r="G46" s="23"/>
      <c r="H46" s="23" t="s">
        <v>1078</v>
      </c>
    </row>
    <row r="47" spans="1:8">
      <c r="A47" s="22">
        <v>44</v>
      </c>
      <c r="B47" s="25">
        <v>111</v>
      </c>
      <c r="C47" s="24" t="s">
        <v>789</v>
      </c>
      <c r="D47" s="25">
        <v>44</v>
      </c>
      <c r="E47" s="24" t="s">
        <v>703</v>
      </c>
      <c r="F47" s="23" t="s">
        <v>702</v>
      </c>
      <c r="G47" s="23"/>
      <c r="H47" s="23" t="s">
        <v>1078</v>
      </c>
    </row>
    <row r="48" spans="1:8">
      <c r="A48" s="22">
        <v>45</v>
      </c>
      <c r="B48" s="25">
        <v>111</v>
      </c>
      <c r="C48" s="24" t="s">
        <v>789</v>
      </c>
      <c r="D48" s="25">
        <v>45</v>
      </c>
      <c r="E48" s="24" t="s">
        <v>701</v>
      </c>
      <c r="F48" s="23" t="s">
        <v>700</v>
      </c>
      <c r="G48" s="23"/>
      <c r="H48" s="23" t="s">
        <v>1078</v>
      </c>
    </row>
    <row r="49" spans="1:8">
      <c r="A49" s="22">
        <v>46</v>
      </c>
      <c r="B49" s="25">
        <v>111</v>
      </c>
      <c r="C49" s="24" t="s">
        <v>789</v>
      </c>
      <c r="D49" s="25">
        <v>46</v>
      </c>
      <c r="E49" s="24" t="s">
        <v>699</v>
      </c>
      <c r="F49" s="23" t="s">
        <v>698</v>
      </c>
      <c r="G49" s="23"/>
      <c r="H49" s="23" t="s">
        <v>1078</v>
      </c>
    </row>
    <row r="50" spans="1:8">
      <c r="A50" s="22">
        <v>47</v>
      </c>
      <c r="B50" s="25">
        <v>111</v>
      </c>
      <c r="C50" s="24" t="s">
        <v>789</v>
      </c>
      <c r="D50" s="25">
        <v>47</v>
      </c>
      <c r="E50" s="24" t="s">
        <v>697</v>
      </c>
      <c r="F50" s="23" t="s">
        <v>696</v>
      </c>
      <c r="G50" s="23"/>
      <c r="H50" s="23" t="s">
        <v>1078</v>
      </c>
    </row>
    <row r="51" spans="1:8">
      <c r="A51" s="22">
        <v>48</v>
      </c>
      <c r="B51" s="25">
        <v>111</v>
      </c>
      <c r="C51" s="24" t="s">
        <v>789</v>
      </c>
      <c r="D51" s="25">
        <v>48</v>
      </c>
      <c r="E51" s="24" t="s">
        <v>695</v>
      </c>
      <c r="F51" s="23" t="s">
        <v>694</v>
      </c>
      <c r="G51" s="23"/>
      <c r="H51" s="23" t="s">
        <v>1078</v>
      </c>
    </row>
    <row r="52" spans="1:8">
      <c r="A52" s="22">
        <v>49</v>
      </c>
      <c r="B52" s="25">
        <v>111</v>
      </c>
      <c r="C52" s="24" t="s">
        <v>789</v>
      </c>
      <c r="D52" s="25">
        <v>49</v>
      </c>
      <c r="E52" s="24" t="s">
        <v>693</v>
      </c>
      <c r="F52" s="23" t="s">
        <v>692</v>
      </c>
      <c r="G52" s="23"/>
      <c r="H52" s="23" t="s">
        <v>1078</v>
      </c>
    </row>
    <row r="53" spans="1:8">
      <c r="A53" s="22">
        <v>50</v>
      </c>
      <c r="B53" s="25">
        <v>111</v>
      </c>
      <c r="C53" s="24" t="s">
        <v>789</v>
      </c>
      <c r="D53" s="25">
        <v>50</v>
      </c>
      <c r="E53" s="24" t="s">
        <v>691</v>
      </c>
      <c r="F53" s="23" t="s">
        <v>1093</v>
      </c>
      <c r="G53" s="23"/>
      <c r="H53" s="23" t="s">
        <v>1078</v>
      </c>
    </row>
    <row r="54" spans="1:8">
      <c r="A54" s="22">
        <v>51</v>
      </c>
      <c r="B54" s="25">
        <v>111</v>
      </c>
      <c r="C54" s="24" t="s">
        <v>789</v>
      </c>
      <c r="D54" s="25">
        <v>429</v>
      </c>
      <c r="E54" s="24" t="s">
        <v>731</v>
      </c>
      <c r="F54" s="23" t="s">
        <v>1094</v>
      </c>
      <c r="G54" s="23"/>
      <c r="H54" s="23" t="s">
        <v>1078</v>
      </c>
    </row>
    <row r="55" spans="1:8">
      <c r="A55" s="22">
        <v>52</v>
      </c>
      <c r="B55" s="25">
        <v>111</v>
      </c>
      <c r="C55" s="24" t="s">
        <v>789</v>
      </c>
      <c r="D55" s="25">
        <v>445</v>
      </c>
      <c r="E55" s="24" t="s">
        <v>790</v>
      </c>
      <c r="F55" s="23" t="s">
        <v>1095</v>
      </c>
      <c r="G55" s="23"/>
      <c r="H55" s="23" t="s">
        <v>1078</v>
      </c>
    </row>
    <row r="56" spans="1:8">
      <c r="A56" s="22">
        <v>53</v>
      </c>
      <c r="B56" s="25">
        <v>111</v>
      </c>
      <c r="C56" s="24" t="s">
        <v>789</v>
      </c>
      <c r="D56" s="25">
        <v>461</v>
      </c>
      <c r="E56" s="24" t="s">
        <v>791</v>
      </c>
      <c r="F56" s="23" t="s">
        <v>1096</v>
      </c>
      <c r="G56" s="23"/>
      <c r="H56" s="23" t="s">
        <v>1078</v>
      </c>
    </row>
    <row r="57" spans="1:8">
      <c r="A57" s="22">
        <v>54</v>
      </c>
      <c r="B57" s="25">
        <v>114</v>
      </c>
      <c r="C57" s="24" t="s">
        <v>852</v>
      </c>
      <c r="D57" s="25">
        <v>51</v>
      </c>
      <c r="E57" s="24" t="s">
        <v>688</v>
      </c>
      <c r="F57" s="23" t="s">
        <v>687</v>
      </c>
      <c r="G57" s="23"/>
      <c r="H57" s="23" t="s">
        <v>1325</v>
      </c>
    </row>
    <row r="58" spans="1:8">
      <c r="A58" s="22">
        <v>55</v>
      </c>
      <c r="B58" s="25">
        <v>112</v>
      </c>
      <c r="C58" s="24" t="s">
        <v>792</v>
      </c>
      <c r="D58" s="25">
        <v>52</v>
      </c>
      <c r="E58" s="24" t="s">
        <v>793</v>
      </c>
      <c r="F58" s="26" t="s">
        <v>912</v>
      </c>
      <c r="G58" s="23"/>
      <c r="H58" s="23" t="s">
        <v>1078</v>
      </c>
    </row>
    <row r="59" spans="1:8">
      <c r="A59" s="22">
        <v>56</v>
      </c>
      <c r="B59" s="25">
        <v>112</v>
      </c>
      <c r="C59" s="24" t="s">
        <v>792</v>
      </c>
      <c r="D59" s="25">
        <v>53</v>
      </c>
      <c r="E59" s="24" t="s">
        <v>686</v>
      </c>
      <c r="F59" s="26" t="s">
        <v>912</v>
      </c>
      <c r="G59" s="23"/>
      <c r="H59" s="23" t="s">
        <v>1078</v>
      </c>
    </row>
    <row r="60" spans="1:8">
      <c r="A60" s="22">
        <v>57</v>
      </c>
      <c r="B60" s="25">
        <v>112</v>
      </c>
      <c r="C60" s="24" t="s">
        <v>792</v>
      </c>
      <c r="D60" s="25">
        <v>54</v>
      </c>
      <c r="E60" s="24" t="s">
        <v>685</v>
      </c>
      <c r="F60" s="26" t="s">
        <v>913</v>
      </c>
      <c r="G60" s="23" t="s">
        <v>1035</v>
      </c>
      <c r="H60" s="23" t="s">
        <v>1078</v>
      </c>
    </row>
    <row r="61" spans="1:8">
      <c r="A61" s="22">
        <v>58</v>
      </c>
      <c r="B61" s="25">
        <v>112</v>
      </c>
      <c r="C61" s="24" t="s">
        <v>792</v>
      </c>
      <c r="D61" s="25">
        <v>55</v>
      </c>
      <c r="E61" s="24" t="s">
        <v>684</v>
      </c>
      <c r="F61" s="26" t="s">
        <v>914</v>
      </c>
      <c r="G61" s="23"/>
      <c r="H61" s="23" t="s">
        <v>1078</v>
      </c>
    </row>
    <row r="62" spans="1:8">
      <c r="A62" s="22">
        <v>59</v>
      </c>
      <c r="B62" s="25">
        <v>112</v>
      </c>
      <c r="C62" s="24" t="s">
        <v>792</v>
      </c>
      <c r="D62" s="25">
        <v>56</v>
      </c>
      <c r="E62" s="24" t="s">
        <v>683</v>
      </c>
      <c r="F62" s="26" t="s">
        <v>915</v>
      </c>
      <c r="G62" s="23"/>
      <c r="H62" s="23" t="s">
        <v>1078</v>
      </c>
    </row>
    <row r="63" spans="1:8">
      <c r="A63" s="22">
        <v>60</v>
      </c>
      <c r="B63" s="25">
        <v>112</v>
      </c>
      <c r="C63" s="24" t="s">
        <v>792</v>
      </c>
      <c r="D63" s="25">
        <v>57</v>
      </c>
      <c r="E63" s="24" t="s">
        <v>682</v>
      </c>
      <c r="F63" s="26" t="s">
        <v>916</v>
      </c>
      <c r="G63" s="23"/>
      <c r="H63" s="23" t="s">
        <v>1078</v>
      </c>
    </row>
    <row r="64" spans="1:8">
      <c r="A64" s="22">
        <v>61</v>
      </c>
      <c r="B64" s="25">
        <v>112</v>
      </c>
      <c r="C64" s="24" t="s">
        <v>792</v>
      </c>
      <c r="D64" s="25">
        <v>58</v>
      </c>
      <c r="E64" s="24" t="s">
        <v>681</v>
      </c>
      <c r="F64" s="23" t="s">
        <v>680</v>
      </c>
      <c r="G64" s="23"/>
      <c r="H64" s="23" t="s">
        <v>1078</v>
      </c>
    </row>
    <row r="65" spans="1:8">
      <c r="A65" s="22">
        <v>62</v>
      </c>
      <c r="B65" s="25">
        <v>112</v>
      </c>
      <c r="C65" s="24" t="s">
        <v>792</v>
      </c>
      <c r="D65" s="25">
        <v>59</v>
      </c>
      <c r="E65" s="24" t="s">
        <v>679</v>
      </c>
      <c r="F65" s="23" t="s">
        <v>678</v>
      </c>
      <c r="G65" s="23"/>
      <c r="H65" s="23" t="s">
        <v>1078</v>
      </c>
    </row>
    <row r="66" spans="1:8">
      <c r="A66" s="22">
        <v>63</v>
      </c>
      <c r="B66" s="25">
        <v>112</v>
      </c>
      <c r="C66" s="24" t="s">
        <v>792</v>
      </c>
      <c r="D66" s="25">
        <v>60</v>
      </c>
      <c r="E66" s="24" t="s">
        <v>794</v>
      </c>
      <c r="F66" s="23" t="s">
        <v>300</v>
      </c>
      <c r="G66" s="23" t="s">
        <v>1036</v>
      </c>
      <c r="H66" s="23" t="s">
        <v>1078</v>
      </c>
    </row>
    <row r="67" spans="1:8">
      <c r="A67" s="22">
        <v>64</v>
      </c>
      <c r="B67" s="25">
        <v>112</v>
      </c>
      <c r="C67" s="24" t="s">
        <v>792</v>
      </c>
      <c r="D67" s="25">
        <v>61</v>
      </c>
      <c r="E67" s="24" t="s">
        <v>677</v>
      </c>
      <c r="F67" s="23" t="s">
        <v>300</v>
      </c>
      <c r="G67" s="23" t="s">
        <v>1036</v>
      </c>
      <c r="H67" s="23" t="s">
        <v>1078</v>
      </c>
    </row>
    <row r="68" spans="1:8">
      <c r="A68" s="22">
        <v>65</v>
      </c>
      <c r="B68" s="25">
        <v>112</v>
      </c>
      <c r="C68" s="24" t="s">
        <v>792</v>
      </c>
      <c r="D68" s="25">
        <v>62</v>
      </c>
      <c r="E68" s="24" t="s">
        <v>676</v>
      </c>
      <c r="F68" s="23" t="s">
        <v>300</v>
      </c>
      <c r="G68" s="23" t="s">
        <v>1036</v>
      </c>
      <c r="H68" s="23" t="s">
        <v>1078</v>
      </c>
    </row>
    <row r="69" spans="1:8">
      <c r="A69" s="22">
        <v>66</v>
      </c>
      <c r="B69" s="25">
        <v>112</v>
      </c>
      <c r="C69" s="24" t="s">
        <v>792</v>
      </c>
      <c r="D69" s="25">
        <v>63</v>
      </c>
      <c r="E69" s="24" t="s">
        <v>675</v>
      </c>
      <c r="F69" s="23" t="s">
        <v>328</v>
      </c>
      <c r="G69" s="23" t="s">
        <v>1036</v>
      </c>
      <c r="H69" s="23" t="s">
        <v>1078</v>
      </c>
    </row>
    <row r="70" spans="1:8">
      <c r="A70" s="22">
        <v>67</v>
      </c>
      <c r="B70" s="25">
        <v>112</v>
      </c>
      <c r="C70" s="24" t="s">
        <v>792</v>
      </c>
      <c r="D70" s="25">
        <v>64</v>
      </c>
      <c r="E70" s="24" t="s">
        <v>674</v>
      </c>
      <c r="F70" s="23" t="s">
        <v>328</v>
      </c>
      <c r="G70" s="23" t="s">
        <v>1036</v>
      </c>
      <c r="H70" s="23" t="s">
        <v>1078</v>
      </c>
    </row>
    <row r="71" spans="1:8">
      <c r="A71" s="22">
        <v>68</v>
      </c>
      <c r="B71" s="25">
        <v>112</v>
      </c>
      <c r="C71" s="24" t="s">
        <v>792</v>
      </c>
      <c r="D71" s="25">
        <v>65</v>
      </c>
      <c r="E71" s="24" t="s">
        <v>673</v>
      </c>
      <c r="F71" s="23" t="s">
        <v>328</v>
      </c>
      <c r="G71" s="23" t="s">
        <v>1036</v>
      </c>
      <c r="H71" s="23" t="s">
        <v>1078</v>
      </c>
    </row>
    <row r="72" spans="1:8">
      <c r="A72" s="22">
        <v>69</v>
      </c>
      <c r="B72" s="25">
        <v>112</v>
      </c>
      <c r="C72" s="24" t="s">
        <v>792</v>
      </c>
      <c r="D72" s="25">
        <v>66</v>
      </c>
      <c r="E72" s="24" t="s">
        <v>672</v>
      </c>
      <c r="F72" s="23" t="s">
        <v>328</v>
      </c>
      <c r="G72" s="23" t="s">
        <v>1036</v>
      </c>
      <c r="H72" s="23" t="s">
        <v>1078</v>
      </c>
    </row>
    <row r="73" spans="1:8">
      <c r="A73" s="22">
        <v>70</v>
      </c>
      <c r="B73" s="25">
        <v>112</v>
      </c>
      <c r="C73" s="24" t="s">
        <v>792</v>
      </c>
      <c r="D73" s="25">
        <v>67</v>
      </c>
      <c r="E73" s="24" t="s">
        <v>671</v>
      </c>
      <c r="F73" s="23" t="s">
        <v>328</v>
      </c>
      <c r="G73" s="23" t="s">
        <v>1036</v>
      </c>
      <c r="H73" s="23" t="s">
        <v>1078</v>
      </c>
    </row>
    <row r="74" spans="1:8">
      <c r="A74" s="22">
        <v>71</v>
      </c>
      <c r="B74" s="25">
        <v>112</v>
      </c>
      <c r="C74" s="24" t="s">
        <v>792</v>
      </c>
      <c r="D74" s="25">
        <v>68</v>
      </c>
      <c r="E74" s="24" t="s">
        <v>670</v>
      </c>
      <c r="F74" s="23" t="s">
        <v>669</v>
      </c>
      <c r="G74" s="23" t="s">
        <v>1036</v>
      </c>
      <c r="H74" s="23" t="s">
        <v>1078</v>
      </c>
    </row>
    <row r="75" spans="1:8">
      <c r="A75" s="22">
        <v>72</v>
      </c>
      <c r="B75" s="25">
        <v>112</v>
      </c>
      <c r="C75" s="24" t="s">
        <v>792</v>
      </c>
      <c r="D75" s="25">
        <v>69</v>
      </c>
      <c r="E75" s="24" t="s">
        <v>668</v>
      </c>
      <c r="F75" s="23" t="s">
        <v>667</v>
      </c>
      <c r="G75" s="23" t="s">
        <v>1036</v>
      </c>
      <c r="H75" s="23" t="s">
        <v>1078</v>
      </c>
    </row>
    <row r="76" spans="1:8">
      <c r="A76" s="22">
        <v>73</v>
      </c>
      <c r="B76" s="25">
        <v>112</v>
      </c>
      <c r="C76" s="24" t="s">
        <v>792</v>
      </c>
      <c r="D76" s="25">
        <v>70</v>
      </c>
      <c r="E76" s="24" t="s">
        <v>666</v>
      </c>
      <c r="F76" s="23" t="s">
        <v>665</v>
      </c>
      <c r="G76" s="23" t="s">
        <v>1036</v>
      </c>
      <c r="H76" s="23" t="s">
        <v>1078</v>
      </c>
    </row>
    <row r="77" spans="1:8">
      <c r="A77" s="22">
        <v>74</v>
      </c>
      <c r="B77" s="25">
        <v>112</v>
      </c>
      <c r="C77" s="24" t="s">
        <v>792</v>
      </c>
      <c r="D77" s="25">
        <v>71</v>
      </c>
      <c r="E77" s="24" t="s">
        <v>664</v>
      </c>
      <c r="F77" s="23" t="s">
        <v>663</v>
      </c>
      <c r="G77" s="23" t="s">
        <v>1036</v>
      </c>
      <c r="H77" s="23" t="s">
        <v>1078</v>
      </c>
    </row>
    <row r="78" spans="1:8">
      <c r="A78" s="22">
        <v>75</v>
      </c>
      <c r="B78" s="25">
        <v>112</v>
      </c>
      <c r="C78" s="24" t="s">
        <v>792</v>
      </c>
      <c r="D78" s="25">
        <v>72</v>
      </c>
      <c r="E78" s="24" t="s">
        <v>662</v>
      </c>
      <c r="F78" s="23" t="s">
        <v>661</v>
      </c>
      <c r="G78" s="23" t="s">
        <v>1036</v>
      </c>
      <c r="H78" s="23" t="s">
        <v>1078</v>
      </c>
    </row>
    <row r="79" spans="1:8">
      <c r="A79" s="22">
        <v>76</v>
      </c>
      <c r="B79" s="25">
        <v>112</v>
      </c>
      <c r="C79" s="24" t="s">
        <v>792</v>
      </c>
      <c r="D79" s="25">
        <v>73</v>
      </c>
      <c r="E79" s="24" t="s">
        <v>660</v>
      </c>
      <c r="F79" s="23" t="s">
        <v>300</v>
      </c>
      <c r="G79" s="23" t="s">
        <v>1036</v>
      </c>
      <c r="H79" s="23" t="s">
        <v>1078</v>
      </c>
    </row>
    <row r="80" spans="1:8">
      <c r="A80" s="22">
        <v>77</v>
      </c>
      <c r="B80" s="25">
        <v>112</v>
      </c>
      <c r="C80" s="24" t="s">
        <v>792</v>
      </c>
      <c r="D80" s="25">
        <v>74</v>
      </c>
      <c r="E80" s="24" t="s">
        <v>659</v>
      </c>
      <c r="F80" s="23" t="s">
        <v>328</v>
      </c>
      <c r="G80" s="23" t="s">
        <v>1036</v>
      </c>
      <c r="H80" s="23" t="s">
        <v>1078</v>
      </c>
    </row>
    <row r="81" spans="1:8">
      <c r="A81" s="22">
        <v>78</v>
      </c>
      <c r="B81" s="25">
        <v>112</v>
      </c>
      <c r="C81" s="24" t="s">
        <v>792</v>
      </c>
      <c r="D81" s="25">
        <v>75</v>
      </c>
      <c r="E81" s="24" t="s">
        <v>658</v>
      </c>
      <c r="F81" s="23" t="s">
        <v>328</v>
      </c>
      <c r="G81" s="23" t="s">
        <v>1036</v>
      </c>
      <c r="H81" s="23" t="s">
        <v>1078</v>
      </c>
    </row>
    <row r="82" spans="1:8">
      <c r="A82" s="22">
        <v>79</v>
      </c>
      <c r="B82" s="25">
        <v>112</v>
      </c>
      <c r="C82" s="24" t="s">
        <v>792</v>
      </c>
      <c r="D82" s="25">
        <v>76</v>
      </c>
      <c r="E82" s="24" t="s">
        <v>657</v>
      </c>
      <c r="F82" s="23" t="s">
        <v>328</v>
      </c>
      <c r="G82" s="23" t="s">
        <v>1036</v>
      </c>
      <c r="H82" s="23" t="s">
        <v>1078</v>
      </c>
    </row>
    <row r="83" spans="1:8">
      <c r="A83" s="22">
        <v>80</v>
      </c>
      <c r="B83" s="25">
        <v>112</v>
      </c>
      <c r="C83" s="24" t="s">
        <v>792</v>
      </c>
      <c r="D83" s="25">
        <v>77</v>
      </c>
      <c r="E83" s="24" t="s">
        <v>795</v>
      </c>
      <c r="F83" s="23" t="s">
        <v>300</v>
      </c>
      <c r="G83" s="23" t="s">
        <v>1036</v>
      </c>
      <c r="H83" s="23" t="s">
        <v>1078</v>
      </c>
    </row>
    <row r="84" spans="1:8">
      <c r="A84" s="22">
        <v>81</v>
      </c>
      <c r="B84" s="25">
        <v>112</v>
      </c>
      <c r="C84" s="24" t="s">
        <v>792</v>
      </c>
      <c r="D84" s="25">
        <v>78</v>
      </c>
      <c r="E84" s="24" t="s">
        <v>656</v>
      </c>
      <c r="F84" s="23" t="s">
        <v>300</v>
      </c>
      <c r="G84" s="23" t="s">
        <v>1036</v>
      </c>
      <c r="H84" s="23" t="s">
        <v>1078</v>
      </c>
    </row>
    <row r="85" spans="1:8">
      <c r="A85" s="22">
        <v>82</v>
      </c>
      <c r="B85" s="25">
        <v>112</v>
      </c>
      <c r="C85" s="24" t="s">
        <v>792</v>
      </c>
      <c r="D85" s="25">
        <v>79</v>
      </c>
      <c r="E85" s="24" t="s">
        <v>655</v>
      </c>
      <c r="F85" s="23" t="s">
        <v>300</v>
      </c>
      <c r="G85" s="23" t="s">
        <v>1036</v>
      </c>
      <c r="H85" s="23" t="s">
        <v>1078</v>
      </c>
    </row>
    <row r="86" spans="1:8">
      <c r="A86" s="22">
        <v>83</v>
      </c>
      <c r="B86" s="25">
        <v>112</v>
      </c>
      <c r="C86" s="24" t="s">
        <v>792</v>
      </c>
      <c r="D86" s="25">
        <v>80</v>
      </c>
      <c r="E86" s="24" t="s">
        <v>654</v>
      </c>
      <c r="F86" s="23" t="s">
        <v>328</v>
      </c>
      <c r="G86" s="23" t="s">
        <v>1036</v>
      </c>
      <c r="H86" s="23" t="s">
        <v>1078</v>
      </c>
    </row>
    <row r="87" spans="1:8">
      <c r="A87" s="22">
        <v>84</v>
      </c>
      <c r="B87" s="25">
        <v>112</v>
      </c>
      <c r="C87" s="24" t="s">
        <v>792</v>
      </c>
      <c r="D87" s="25">
        <v>81</v>
      </c>
      <c r="E87" s="24" t="s">
        <v>653</v>
      </c>
      <c r="F87" s="23" t="s">
        <v>328</v>
      </c>
      <c r="G87" s="23" t="s">
        <v>1036</v>
      </c>
      <c r="H87" s="23" t="s">
        <v>1078</v>
      </c>
    </row>
    <row r="88" spans="1:8">
      <c r="A88" s="22">
        <v>85</v>
      </c>
      <c r="B88" s="25">
        <v>112</v>
      </c>
      <c r="C88" s="24" t="s">
        <v>792</v>
      </c>
      <c r="D88" s="25">
        <v>82</v>
      </c>
      <c r="E88" s="24" t="s">
        <v>652</v>
      </c>
      <c r="F88" s="23" t="s">
        <v>651</v>
      </c>
      <c r="G88" s="23" t="s">
        <v>1036</v>
      </c>
      <c r="H88" s="23" t="s">
        <v>1078</v>
      </c>
    </row>
    <row r="89" spans="1:8">
      <c r="A89" s="22">
        <v>86</v>
      </c>
      <c r="B89" s="25">
        <v>112</v>
      </c>
      <c r="C89" s="24" t="s">
        <v>792</v>
      </c>
      <c r="D89" s="25">
        <v>83</v>
      </c>
      <c r="E89" s="24" t="s">
        <v>650</v>
      </c>
      <c r="F89" s="23" t="s">
        <v>649</v>
      </c>
      <c r="G89" s="23" t="s">
        <v>1036</v>
      </c>
      <c r="H89" s="23" t="s">
        <v>1078</v>
      </c>
    </row>
    <row r="90" spans="1:8">
      <c r="A90" s="22">
        <v>87</v>
      </c>
      <c r="B90" s="25">
        <v>112</v>
      </c>
      <c r="C90" s="24" t="s">
        <v>792</v>
      </c>
      <c r="D90" s="25">
        <v>84</v>
      </c>
      <c r="E90" s="24" t="s">
        <v>648</v>
      </c>
      <c r="F90" s="23" t="s">
        <v>647</v>
      </c>
      <c r="G90" s="23" t="s">
        <v>1036</v>
      </c>
      <c r="H90" s="23" t="s">
        <v>1078</v>
      </c>
    </row>
    <row r="91" spans="1:8">
      <c r="A91" s="22">
        <v>88</v>
      </c>
      <c r="B91" s="25">
        <v>112</v>
      </c>
      <c r="C91" s="24" t="s">
        <v>792</v>
      </c>
      <c r="D91" s="25">
        <v>85</v>
      </c>
      <c r="E91" s="24" t="s">
        <v>646</v>
      </c>
      <c r="F91" s="23" t="s">
        <v>645</v>
      </c>
      <c r="G91" s="23" t="s">
        <v>1036</v>
      </c>
      <c r="H91" s="23" t="s">
        <v>1078</v>
      </c>
    </row>
    <row r="92" spans="1:8">
      <c r="A92" s="22">
        <v>89</v>
      </c>
      <c r="B92" s="25">
        <v>112</v>
      </c>
      <c r="C92" s="24" t="s">
        <v>792</v>
      </c>
      <c r="D92" s="25">
        <v>86</v>
      </c>
      <c r="E92" s="24" t="s">
        <v>796</v>
      </c>
      <c r="F92" s="23" t="s">
        <v>328</v>
      </c>
      <c r="G92" s="23" t="s">
        <v>1036</v>
      </c>
      <c r="H92" s="23" t="s">
        <v>1078</v>
      </c>
    </row>
    <row r="93" spans="1:8">
      <c r="A93" s="22">
        <v>90</v>
      </c>
      <c r="B93" s="25">
        <v>112</v>
      </c>
      <c r="C93" s="24" t="s">
        <v>792</v>
      </c>
      <c r="D93" s="25">
        <v>87</v>
      </c>
      <c r="E93" s="24" t="s">
        <v>644</v>
      </c>
      <c r="F93" s="23" t="s">
        <v>328</v>
      </c>
      <c r="G93" s="23" t="s">
        <v>1036</v>
      </c>
      <c r="H93" s="23" t="s">
        <v>1078</v>
      </c>
    </row>
    <row r="94" spans="1:8">
      <c r="A94" s="22">
        <v>91</v>
      </c>
      <c r="B94" s="25">
        <v>112</v>
      </c>
      <c r="C94" s="24" t="s">
        <v>792</v>
      </c>
      <c r="D94" s="25">
        <v>88</v>
      </c>
      <c r="E94" s="24" t="s">
        <v>643</v>
      </c>
      <c r="F94" s="26" t="s">
        <v>917</v>
      </c>
      <c r="G94" s="23" t="s">
        <v>1036</v>
      </c>
      <c r="H94" s="23" t="s">
        <v>1078</v>
      </c>
    </row>
    <row r="95" spans="1:8">
      <c r="A95" s="22">
        <v>92</v>
      </c>
      <c r="B95" s="25">
        <v>112</v>
      </c>
      <c r="C95" s="24" t="s">
        <v>792</v>
      </c>
      <c r="D95" s="25">
        <v>89</v>
      </c>
      <c r="E95" s="24" t="s">
        <v>642</v>
      </c>
      <c r="F95" s="26" t="s">
        <v>918</v>
      </c>
      <c r="G95" s="23" t="s">
        <v>1036</v>
      </c>
      <c r="H95" s="23" t="s">
        <v>1078</v>
      </c>
    </row>
    <row r="96" spans="1:8">
      <c r="A96" s="22">
        <v>93</v>
      </c>
      <c r="B96" s="25">
        <v>112</v>
      </c>
      <c r="C96" s="24" t="s">
        <v>792</v>
      </c>
      <c r="D96" s="25">
        <v>90</v>
      </c>
      <c r="E96" s="24" t="s">
        <v>641</v>
      </c>
      <c r="F96" s="26" t="s">
        <v>919</v>
      </c>
      <c r="G96" s="23" t="s">
        <v>1036</v>
      </c>
      <c r="H96" s="23" t="s">
        <v>1078</v>
      </c>
    </row>
    <row r="97" spans="1:8">
      <c r="A97" s="22">
        <v>94</v>
      </c>
      <c r="B97" s="25">
        <v>112</v>
      </c>
      <c r="C97" s="24" t="s">
        <v>792</v>
      </c>
      <c r="D97" s="25">
        <v>91</v>
      </c>
      <c r="E97" s="24" t="s">
        <v>640</v>
      </c>
      <c r="F97" s="26" t="s">
        <v>920</v>
      </c>
      <c r="G97" s="23" t="s">
        <v>1036</v>
      </c>
      <c r="H97" s="23" t="s">
        <v>1078</v>
      </c>
    </row>
    <row r="98" spans="1:8">
      <c r="A98" s="22">
        <v>95</v>
      </c>
      <c r="B98" s="25">
        <v>112</v>
      </c>
      <c r="C98" s="24" t="s">
        <v>792</v>
      </c>
      <c r="D98" s="25">
        <v>92</v>
      </c>
      <c r="E98" s="24" t="s">
        <v>639</v>
      </c>
      <c r="F98" s="23" t="s">
        <v>300</v>
      </c>
      <c r="G98" s="23" t="s">
        <v>1036</v>
      </c>
      <c r="H98" s="23" t="s">
        <v>1078</v>
      </c>
    </row>
    <row r="99" spans="1:8">
      <c r="A99" s="22">
        <v>96</v>
      </c>
      <c r="B99" s="25">
        <v>112</v>
      </c>
      <c r="C99" s="24" t="s">
        <v>792</v>
      </c>
      <c r="D99" s="25">
        <v>93</v>
      </c>
      <c r="E99" s="24" t="s">
        <v>638</v>
      </c>
      <c r="F99" s="23" t="s">
        <v>328</v>
      </c>
      <c r="G99" s="23" t="s">
        <v>1036</v>
      </c>
      <c r="H99" s="23" t="s">
        <v>1078</v>
      </c>
    </row>
    <row r="100" spans="1:8">
      <c r="A100" s="22">
        <v>97</v>
      </c>
      <c r="B100" s="25">
        <v>112</v>
      </c>
      <c r="C100" s="24" t="s">
        <v>792</v>
      </c>
      <c r="D100" s="25">
        <v>94</v>
      </c>
      <c r="E100" s="24" t="s">
        <v>637</v>
      </c>
      <c r="F100" s="23" t="s">
        <v>328</v>
      </c>
      <c r="G100" s="23" t="s">
        <v>1036</v>
      </c>
      <c r="H100" s="23" t="s">
        <v>1078</v>
      </c>
    </row>
    <row r="101" spans="1:8">
      <c r="A101" s="22">
        <v>98</v>
      </c>
      <c r="B101" s="25">
        <v>112</v>
      </c>
      <c r="C101" s="24" t="s">
        <v>792</v>
      </c>
      <c r="D101" s="25">
        <v>95</v>
      </c>
      <c r="E101" s="24" t="s">
        <v>636</v>
      </c>
      <c r="F101" s="23" t="s">
        <v>328</v>
      </c>
      <c r="G101" s="23" t="s">
        <v>1036</v>
      </c>
      <c r="H101" s="23" t="s">
        <v>1078</v>
      </c>
    </row>
    <row r="102" spans="1:8">
      <c r="A102" s="22">
        <v>99</v>
      </c>
      <c r="B102" s="25">
        <v>112</v>
      </c>
      <c r="C102" s="24" t="s">
        <v>792</v>
      </c>
      <c r="D102" s="25">
        <v>96</v>
      </c>
      <c r="E102" s="24" t="s">
        <v>635</v>
      </c>
      <c r="F102" s="26" t="s">
        <v>921</v>
      </c>
      <c r="G102" s="23" t="s">
        <v>1036</v>
      </c>
      <c r="H102" s="23" t="s">
        <v>1078</v>
      </c>
    </row>
    <row r="103" spans="1:8">
      <c r="A103" s="22">
        <v>100</v>
      </c>
      <c r="B103" s="25">
        <v>112</v>
      </c>
      <c r="C103" s="24" t="s">
        <v>792</v>
      </c>
      <c r="D103" s="25">
        <v>97</v>
      </c>
      <c r="E103" s="24" t="s">
        <v>634</v>
      </c>
      <c r="F103" s="23" t="s">
        <v>632</v>
      </c>
      <c r="G103" s="23" t="s">
        <v>1036</v>
      </c>
      <c r="H103" s="23" t="s">
        <v>1078</v>
      </c>
    </row>
    <row r="104" spans="1:8">
      <c r="A104" s="22">
        <v>101</v>
      </c>
      <c r="B104" s="25">
        <v>112</v>
      </c>
      <c r="C104" s="24" t="s">
        <v>792</v>
      </c>
      <c r="D104" s="25">
        <v>98</v>
      </c>
      <c r="E104" s="24" t="s">
        <v>633</v>
      </c>
      <c r="F104" s="23" t="s">
        <v>632</v>
      </c>
      <c r="G104" s="23" t="s">
        <v>1036</v>
      </c>
      <c r="H104" s="23" t="s">
        <v>1078</v>
      </c>
    </row>
    <row r="105" spans="1:8">
      <c r="A105" s="22">
        <v>102</v>
      </c>
      <c r="B105" s="25">
        <v>112</v>
      </c>
      <c r="C105" s="24" t="s">
        <v>792</v>
      </c>
      <c r="D105" s="25">
        <v>99</v>
      </c>
      <c r="E105" s="24" t="s">
        <v>631</v>
      </c>
      <c r="F105" s="23" t="s">
        <v>630</v>
      </c>
      <c r="G105" s="23" t="s">
        <v>1036</v>
      </c>
      <c r="H105" s="23" t="s">
        <v>1078</v>
      </c>
    </row>
    <row r="106" spans="1:8">
      <c r="A106" s="22">
        <v>103</v>
      </c>
      <c r="B106" s="25">
        <v>112</v>
      </c>
      <c r="C106" s="24" t="s">
        <v>792</v>
      </c>
      <c r="D106" s="25">
        <v>430</v>
      </c>
      <c r="E106" s="24" t="s">
        <v>797</v>
      </c>
      <c r="F106" s="23" t="s">
        <v>1094</v>
      </c>
      <c r="G106" s="23"/>
      <c r="H106" s="23" t="s">
        <v>1078</v>
      </c>
    </row>
    <row r="107" spans="1:8">
      <c r="A107" s="22">
        <v>104</v>
      </c>
      <c r="B107" s="25">
        <v>112</v>
      </c>
      <c r="C107" s="24" t="s">
        <v>792</v>
      </c>
      <c r="D107" s="25">
        <v>446</v>
      </c>
      <c r="E107" s="24" t="s">
        <v>798</v>
      </c>
      <c r="F107" s="23" t="s">
        <v>1095</v>
      </c>
      <c r="G107" s="23"/>
      <c r="H107" s="23" t="s">
        <v>1078</v>
      </c>
    </row>
    <row r="108" spans="1:8">
      <c r="A108" s="22">
        <v>105</v>
      </c>
      <c r="B108" s="25">
        <v>112</v>
      </c>
      <c r="C108" s="24" t="s">
        <v>792</v>
      </c>
      <c r="D108" s="25">
        <v>462</v>
      </c>
      <c r="E108" s="24" t="s">
        <v>799</v>
      </c>
      <c r="F108" s="23" t="s">
        <v>1096</v>
      </c>
      <c r="G108" s="23"/>
      <c r="H108" s="23" t="s">
        <v>1078</v>
      </c>
    </row>
    <row r="109" spans="1:8">
      <c r="A109" s="22">
        <v>106</v>
      </c>
      <c r="B109" s="25">
        <v>121</v>
      </c>
      <c r="C109" s="24" t="s">
        <v>800</v>
      </c>
      <c r="D109" s="25">
        <v>100</v>
      </c>
      <c r="E109" s="24" t="s">
        <v>605</v>
      </c>
      <c r="F109" s="23" t="s">
        <v>604</v>
      </c>
      <c r="G109" s="23"/>
      <c r="H109" s="23" t="s">
        <v>1078</v>
      </c>
    </row>
    <row r="110" spans="1:8">
      <c r="A110" s="22">
        <v>107</v>
      </c>
      <c r="B110" s="25">
        <v>121</v>
      </c>
      <c r="C110" s="24" t="s">
        <v>800</v>
      </c>
      <c r="D110" s="25">
        <v>101</v>
      </c>
      <c r="E110" s="24" t="s">
        <v>603</v>
      </c>
      <c r="F110" s="23" t="s">
        <v>328</v>
      </c>
      <c r="G110" s="23"/>
      <c r="H110" s="23" t="s">
        <v>1078</v>
      </c>
    </row>
    <row r="111" spans="1:8">
      <c r="A111" s="22">
        <v>108</v>
      </c>
      <c r="B111" s="25">
        <v>121</v>
      </c>
      <c r="C111" s="24" t="s">
        <v>800</v>
      </c>
      <c r="D111" s="25">
        <v>102</v>
      </c>
      <c r="E111" s="24" t="s">
        <v>602</v>
      </c>
      <c r="F111" s="23" t="s">
        <v>328</v>
      </c>
      <c r="G111" s="23"/>
      <c r="H111" s="23" t="s">
        <v>1078</v>
      </c>
    </row>
    <row r="112" spans="1:8">
      <c r="A112" s="22">
        <v>109</v>
      </c>
      <c r="B112" s="25">
        <v>121</v>
      </c>
      <c r="C112" s="24" t="s">
        <v>800</v>
      </c>
      <c r="D112" s="25">
        <v>103</v>
      </c>
      <c r="E112" s="24" t="s">
        <v>601</v>
      </c>
      <c r="F112" s="23" t="s">
        <v>328</v>
      </c>
      <c r="G112" s="23"/>
      <c r="H112" s="23" t="s">
        <v>1078</v>
      </c>
    </row>
    <row r="113" spans="1:8">
      <c r="A113" s="22">
        <v>110</v>
      </c>
      <c r="B113" s="25">
        <v>121</v>
      </c>
      <c r="C113" s="24" t="s">
        <v>800</v>
      </c>
      <c r="D113" s="25">
        <v>104</v>
      </c>
      <c r="E113" s="24" t="s">
        <v>600</v>
      </c>
      <c r="F113" s="23" t="s">
        <v>1097</v>
      </c>
      <c r="G113" s="23"/>
      <c r="H113" s="23" t="s">
        <v>1078</v>
      </c>
    </row>
    <row r="114" spans="1:8">
      <c r="A114" s="22">
        <v>111</v>
      </c>
      <c r="B114" s="25">
        <v>121</v>
      </c>
      <c r="C114" s="24" t="s">
        <v>800</v>
      </c>
      <c r="D114" s="25">
        <v>105</v>
      </c>
      <c r="E114" s="24" t="s">
        <v>599</v>
      </c>
      <c r="F114" s="23" t="s">
        <v>281</v>
      </c>
      <c r="G114" s="23"/>
      <c r="H114" s="23" t="s">
        <v>1078</v>
      </c>
    </row>
    <row r="115" spans="1:8">
      <c r="A115" s="22">
        <v>112</v>
      </c>
      <c r="B115" s="25">
        <v>121</v>
      </c>
      <c r="C115" s="24" t="s">
        <v>800</v>
      </c>
      <c r="D115" s="25">
        <v>106</v>
      </c>
      <c r="E115" s="24" t="s">
        <v>598</v>
      </c>
      <c r="F115" s="23" t="s">
        <v>597</v>
      </c>
      <c r="G115" s="23"/>
      <c r="H115" s="23" t="s">
        <v>1078</v>
      </c>
    </row>
    <row r="116" spans="1:8">
      <c r="A116" s="22">
        <v>113</v>
      </c>
      <c r="B116" s="25">
        <v>121</v>
      </c>
      <c r="C116" s="24" t="s">
        <v>800</v>
      </c>
      <c r="D116" s="25">
        <v>107</v>
      </c>
      <c r="E116" s="24" t="s">
        <v>596</v>
      </c>
      <c r="F116" s="26" t="s">
        <v>922</v>
      </c>
      <c r="G116" s="23"/>
      <c r="H116" s="23" t="s">
        <v>1078</v>
      </c>
    </row>
    <row r="117" spans="1:8">
      <c r="A117" s="22">
        <v>114</v>
      </c>
      <c r="B117" s="25">
        <v>121</v>
      </c>
      <c r="C117" s="24" t="s">
        <v>800</v>
      </c>
      <c r="D117" s="25">
        <v>108</v>
      </c>
      <c r="E117" s="24" t="s">
        <v>595</v>
      </c>
      <c r="F117" s="23" t="s">
        <v>594</v>
      </c>
      <c r="G117" s="23"/>
      <c r="H117" s="23" t="s">
        <v>1078</v>
      </c>
    </row>
    <row r="118" spans="1:8">
      <c r="A118" s="22">
        <v>115</v>
      </c>
      <c r="B118" s="25">
        <v>121</v>
      </c>
      <c r="C118" s="24" t="s">
        <v>800</v>
      </c>
      <c r="D118" s="25">
        <v>109</v>
      </c>
      <c r="E118" s="24" t="s">
        <v>593</v>
      </c>
      <c r="F118" s="23" t="s">
        <v>592</v>
      </c>
      <c r="G118" s="23"/>
      <c r="H118" s="23" t="s">
        <v>1078</v>
      </c>
    </row>
    <row r="119" spans="1:8">
      <c r="A119" s="22">
        <v>116</v>
      </c>
      <c r="B119" s="25">
        <v>121</v>
      </c>
      <c r="C119" s="24" t="s">
        <v>800</v>
      </c>
      <c r="D119" s="25">
        <v>110</v>
      </c>
      <c r="E119" s="24" t="s">
        <v>591</v>
      </c>
      <c r="F119" s="23" t="s">
        <v>590</v>
      </c>
      <c r="G119" s="23"/>
      <c r="H119" s="23" t="s">
        <v>1078</v>
      </c>
    </row>
    <row r="120" spans="1:8">
      <c r="A120" s="22">
        <v>117</v>
      </c>
      <c r="B120" s="25">
        <v>121</v>
      </c>
      <c r="C120" s="24" t="s">
        <v>800</v>
      </c>
      <c r="D120" s="25">
        <v>111</v>
      </c>
      <c r="E120" s="24" t="s">
        <v>589</v>
      </c>
      <c r="F120" s="23" t="s">
        <v>588</v>
      </c>
      <c r="G120" s="23"/>
      <c r="H120" s="23" t="s">
        <v>1078</v>
      </c>
    </row>
    <row r="121" spans="1:8">
      <c r="A121" s="22">
        <v>118</v>
      </c>
      <c r="B121" s="25">
        <v>121</v>
      </c>
      <c r="C121" s="24" t="s">
        <v>800</v>
      </c>
      <c r="D121" s="25">
        <v>112</v>
      </c>
      <c r="E121" s="24" t="s">
        <v>587</v>
      </c>
      <c r="F121" s="23" t="s">
        <v>586</v>
      </c>
      <c r="G121" s="23"/>
      <c r="H121" s="23" t="s">
        <v>1078</v>
      </c>
    </row>
    <row r="122" spans="1:8">
      <c r="A122" s="22">
        <v>119</v>
      </c>
      <c r="B122" s="25">
        <v>121</v>
      </c>
      <c r="C122" s="24" t="s">
        <v>800</v>
      </c>
      <c r="D122" s="25">
        <v>113</v>
      </c>
      <c r="E122" s="24" t="s">
        <v>585</v>
      </c>
      <c r="F122" s="23" t="s">
        <v>584</v>
      </c>
      <c r="G122" s="23"/>
      <c r="H122" s="23" t="s">
        <v>1078</v>
      </c>
    </row>
    <row r="123" spans="1:8">
      <c r="A123" s="22">
        <v>120</v>
      </c>
      <c r="B123" s="25">
        <v>121</v>
      </c>
      <c r="C123" s="24" t="s">
        <v>800</v>
      </c>
      <c r="D123" s="25">
        <v>114</v>
      </c>
      <c r="E123" s="24" t="s">
        <v>583</v>
      </c>
      <c r="F123" s="23" t="s">
        <v>328</v>
      </c>
      <c r="G123" s="23"/>
      <c r="H123" s="23" t="s">
        <v>1078</v>
      </c>
    </row>
    <row r="124" spans="1:8">
      <c r="A124" s="22">
        <v>121</v>
      </c>
      <c r="B124" s="25">
        <v>121</v>
      </c>
      <c r="C124" s="24" t="s">
        <v>800</v>
      </c>
      <c r="D124" s="25">
        <v>115</v>
      </c>
      <c r="E124" s="24" t="s">
        <v>582</v>
      </c>
      <c r="F124" s="23" t="s">
        <v>328</v>
      </c>
      <c r="G124" s="23"/>
      <c r="H124" s="23" t="s">
        <v>1078</v>
      </c>
    </row>
    <row r="125" spans="1:8">
      <c r="A125" s="22">
        <v>122</v>
      </c>
      <c r="B125" s="25">
        <v>121</v>
      </c>
      <c r="C125" s="24" t="s">
        <v>800</v>
      </c>
      <c r="D125" s="25">
        <v>116</v>
      </c>
      <c r="E125" s="24" t="s">
        <v>581</v>
      </c>
      <c r="F125" s="23" t="s">
        <v>328</v>
      </c>
      <c r="G125" s="23"/>
      <c r="H125" s="23" t="s">
        <v>1078</v>
      </c>
    </row>
    <row r="126" spans="1:8">
      <c r="A126" s="22">
        <v>123</v>
      </c>
      <c r="B126" s="25">
        <v>121</v>
      </c>
      <c r="C126" s="24" t="s">
        <v>800</v>
      </c>
      <c r="D126" s="25">
        <v>117</v>
      </c>
      <c r="E126" s="24" t="s">
        <v>580</v>
      </c>
      <c r="F126" s="23" t="s">
        <v>580</v>
      </c>
      <c r="G126" s="23"/>
      <c r="H126" s="23" t="s">
        <v>1078</v>
      </c>
    </row>
    <row r="127" spans="1:8">
      <c r="A127" s="22">
        <v>124</v>
      </c>
      <c r="B127" s="25">
        <v>121</v>
      </c>
      <c r="C127" s="24" t="s">
        <v>800</v>
      </c>
      <c r="D127" s="25">
        <v>118</v>
      </c>
      <c r="E127" s="24" t="s">
        <v>579</v>
      </c>
      <c r="F127" s="23" t="s">
        <v>578</v>
      </c>
      <c r="G127" s="23"/>
      <c r="H127" s="23" t="s">
        <v>1078</v>
      </c>
    </row>
    <row r="128" spans="1:8">
      <c r="A128" s="22">
        <v>125</v>
      </c>
      <c r="B128" s="25">
        <v>121</v>
      </c>
      <c r="C128" s="24" t="s">
        <v>800</v>
      </c>
      <c r="D128" s="25">
        <v>119</v>
      </c>
      <c r="E128" s="24" t="s">
        <v>577</v>
      </c>
      <c r="F128" s="23" t="s">
        <v>576</v>
      </c>
      <c r="G128" s="23"/>
      <c r="H128" s="23" t="s">
        <v>1078</v>
      </c>
    </row>
    <row r="129" spans="1:8">
      <c r="A129" s="22">
        <v>126</v>
      </c>
      <c r="B129" s="25">
        <v>121</v>
      </c>
      <c r="C129" s="24" t="s">
        <v>800</v>
      </c>
      <c r="D129" s="25">
        <v>120</v>
      </c>
      <c r="E129" s="24" t="s">
        <v>575</v>
      </c>
      <c r="F129" s="23" t="s">
        <v>574</v>
      </c>
      <c r="G129" s="23"/>
      <c r="H129" s="23" t="s">
        <v>1078</v>
      </c>
    </row>
    <row r="130" spans="1:8">
      <c r="A130" s="22">
        <v>127</v>
      </c>
      <c r="B130" s="25">
        <v>121</v>
      </c>
      <c r="C130" s="24" t="s">
        <v>800</v>
      </c>
      <c r="D130" s="25">
        <v>121</v>
      </c>
      <c r="E130" s="24" t="s">
        <v>573</v>
      </c>
      <c r="F130" s="23" t="s">
        <v>572</v>
      </c>
      <c r="G130" s="23"/>
      <c r="H130" s="23" t="s">
        <v>1078</v>
      </c>
    </row>
    <row r="131" spans="1:8">
      <c r="A131" s="22">
        <v>128</v>
      </c>
      <c r="B131" s="25">
        <v>164</v>
      </c>
      <c r="C131" s="24" t="s">
        <v>848</v>
      </c>
      <c r="D131" s="25">
        <v>122</v>
      </c>
      <c r="E131" s="24" t="s">
        <v>571</v>
      </c>
      <c r="F131" s="23" t="s">
        <v>570</v>
      </c>
      <c r="G131" s="23"/>
      <c r="H131" s="23" t="s">
        <v>1078</v>
      </c>
    </row>
    <row r="132" spans="1:8">
      <c r="A132" s="22">
        <v>129</v>
      </c>
      <c r="B132" s="25">
        <v>164</v>
      </c>
      <c r="C132" s="24" t="s">
        <v>848</v>
      </c>
      <c r="D132" s="25">
        <v>123</v>
      </c>
      <c r="E132" s="24" t="s">
        <v>569</v>
      </c>
      <c r="F132" s="23" t="s">
        <v>923</v>
      </c>
      <c r="G132" s="23"/>
      <c r="H132" s="23" t="s">
        <v>1078</v>
      </c>
    </row>
    <row r="133" spans="1:8">
      <c r="A133" s="22">
        <v>130</v>
      </c>
      <c r="B133" s="25">
        <v>164</v>
      </c>
      <c r="C133" s="24" t="s">
        <v>848</v>
      </c>
      <c r="D133" s="25">
        <v>124</v>
      </c>
      <c r="E133" s="24" t="s">
        <v>566</v>
      </c>
      <c r="F133" s="23" t="s">
        <v>565</v>
      </c>
      <c r="G133" s="23"/>
      <c r="H133" s="23" t="s">
        <v>1078</v>
      </c>
    </row>
    <row r="134" spans="1:8">
      <c r="A134" s="22">
        <v>131</v>
      </c>
      <c r="B134" s="25">
        <v>121</v>
      </c>
      <c r="C134" s="24" t="s">
        <v>800</v>
      </c>
      <c r="D134" s="25">
        <v>431</v>
      </c>
      <c r="E134" s="24" t="s">
        <v>801</v>
      </c>
      <c r="F134" s="23" t="s">
        <v>1094</v>
      </c>
      <c r="G134" s="23"/>
      <c r="H134" s="23" t="s">
        <v>1078</v>
      </c>
    </row>
    <row r="135" spans="1:8">
      <c r="A135" s="22">
        <v>132</v>
      </c>
      <c r="B135" s="25">
        <v>121</v>
      </c>
      <c r="C135" s="24" t="s">
        <v>800</v>
      </c>
      <c r="D135" s="25">
        <v>447</v>
      </c>
      <c r="E135" s="24" t="s">
        <v>802</v>
      </c>
      <c r="F135" s="23" t="s">
        <v>1095</v>
      </c>
      <c r="G135" s="23"/>
      <c r="H135" s="23" t="s">
        <v>1078</v>
      </c>
    </row>
    <row r="136" spans="1:8">
      <c r="A136" s="22">
        <v>133</v>
      </c>
      <c r="B136" s="25">
        <v>121</v>
      </c>
      <c r="C136" s="24" t="s">
        <v>800</v>
      </c>
      <c r="D136" s="25">
        <v>463</v>
      </c>
      <c r="E136" s="24" t="s">
        <v>803</v>
      </c>
      <c r="F136" s="23" t="s">
        <v>1096</v>
      </c>
      <c r="G136" s="23"/>
      <c r="H136" s="23" t="s">
        <v>1078</v>
      </c>
    </row>
    <row r="137" spans="1:8">
      <c r="A137" s="22">
        <v>134</v>
      </c>
      <c r="B137" s="25">
        <v>122</v>
      </c>
      <c r="C137" s="24" t="s">
        <v>804</v>
      </c>
      <c r="D137" s="25">
        <v>125</v>
      </c>
      <c r="E137" s="24" t="s">
        <v>564</v>
      </c>
      <c r="F137" s="26" t="s">
        <v>924</v>
      </c>
      <c r="G137" s="23"/>
      <c r="H137" s="23" t="s">
        <v>1031</v>
      </c>
    </row>
    <row r="138" spans="1:8">
      <c r="A138" s="22">
        <v>135</v>
      </c>
      <c r="B138" s="25">
        <v>122</v>
      </c>
      <c r="C138" s="24" t="s">
        <v>804</v>
      </c>
      <c r="D138" s="25">
        <v>126</v>
      </c>
      <c r="E138" s="24" t="s">
        <v>563</v>
      </c>
      <c r="F138" s="23" t="s">
        <v>300</v>
      </c>
      <c r="G138" s="23"/>
      <c r="H138" s="23" t="s">
        <v>1031</v>
      </c>
    </row>
    <row r="139" spans="1:8">
      <c r="A139" s="22">
        <v>136</v>
      </c>
      <c r="B139" s="25">
        <v>122</v>
      </c>
      <c r="C139" s="24" t="s">
        <v>804</v>
      </c>
      <c r="D139" s="25">
        <v>127</v>
      </c>
      <c r="E139" s="24" t="s">
        <v>562</v>
      </c>
      <c r="F139" s="23" t="s">
        <v>281</v>
      </c>
      <c r="G139" s="23"/>
      <c r="H139" s="23" t="s">
        <v>1031</v>
      </c>
    </row>
    <row r="140" spans="1:8">
      <c r="A140" s="22">
        <v>137</v>
      </c>
      <c r="B140" s="25">
        <v>122</v>
      </c>
      <c r="C140" s="24" t="s">
        <v>804</v>
      </c>
      <c r="D140" s="25">
        <v>128</v>
      </c>
      <c r="E140" s="24" t="s">
        <v>561</v>
      </c>
      <c r="F140" s="23" t="s">
        <v>560</v>
      </c>
      <c r="G140" s="23"/>
      <c r="H140" s="23" t="s">
        <v>1031</v>
      </c>
    </row>
    <row r="141" spans="1:8">
      <c r="A141" s="22">
        <v>138</v>
      </c>
      <c r="B141" s="25">
        <v>122</v>
      </c>
      <c r="C141" s="24" t="s">
        <v>804</v>
      </c>
      <c r="D141" s="25">
        <v>129</v>
      </c>
      <c r="E141" s="24" t="s">
        <v>559</v>
      </c>
      <c r="F141" s="23" t="s">
        <v>558</v>
      </c>
      <c r="G141" s="23"/>
      <c r="H141" s="23" t="s">
        <v>1031</v>
      </c>
    </row>
    <row r="142" spans="1:8">
      <c r="A142" s="22">
        <v>139</v>
      </c>
      <c r="B142" s="25">
        <v>122</v>
      </c>
      <c r="C142" s="24" t="s">
        <v>804</v>
      </c>
      <c r="D142" s="25">
        <v>130</v>
      </c>
      <c r="E142" s="24" t="s">
        <v>557</v>
      </c>
      <c r="F142" s="23" t="s">
        <v>556</v>
      </c>
      <c r="G142" s="23"/>
      <c r="H142" s="23" t="s">
        <v>1031</v>
      </c>
    </row>
    <row r="143" spans="1:8">
      <c r="A143" s="22">
        <v>140</v>
      </c>
      <c r="B143" s="25">
        <v>122</v>
      </c>
      <c r="C143" s="24" t="s">
        <v>804</v>
      </c>
      <c r="D143" s="25">
        <v>131</v>
      </c>
      <c r="E143" s="24" t="s">
        <v>555</v>
      </c>
      <c r="F143" s="23" t="s">
        <v>554</v>
      </c>
      <c r="G143" s="23"/>
      <c r="H143" s="23" t="s">
        <v>1031</v>
      </c>
    </row>
    <row r="144" spans="1:8">
      <c r="A144" s="22">
        <v>141</v>
      </c>
      <c r="B144" s="25">
        <v>122</v>
      </c>
      <c r="C144" s="24" t="s">
        <v>804</v>
      </c>
      <c r="D144" s="25">
        <v>132</v>
      </c>
      <c r="E144" s="24" t="s">
        <v>805</v>
      </c>
      <c r="F144" s="23" t="s">
        <v>281</v>
      </c>
      <c r="G144" s="23"/>
      <c r="H144" s="23" t="s">
        <v>1031</v>
      </c>
    </row>
    <row r="145" spans="1:8">
      <c r="A145" s="22">
        <v>142</v>
      </c>
      <c r="B145" s="25">
        <v>122</v>
      </c>
      <c r="C145" s="24" t="s">
        <v>804</v>
      </c>
      <c r="D145" s="25">
        <v>133</v>
      </c>
      <c r="E145" s="24" t="s">
        <v>553</v>
      </c>
      <c r="F145" s="23" t="s">
        <v>281</v>
      </c>
      <c r="G145" s="23"/>
      <c r="H145" s="23" t="s">
        <v>1031</v>
      </c>
    </row>
    <row r="146" spans="1:8">
      <c r="A146" s="22">
        <v>143</v>
      </c>
      <c r="B146" s="25">
        <v>122</v>
      </c>
      <c r="C146" s="24" t="s">
        <v>804</v>
      </c>
      <c r="D146" s="25">
        <v>134</v>
      </c>
      <c r="E146" s="24" t="s">
        <v>552</v>
      </c>
      <c r="F146" s="23" t="s">
        <v>281</v>
      </c>
      <c r="G146" s="23"/>
      <c r="H146" s="23" t="s">
        <v>1031</v>
      </c>
    </row>
    <row r="147" spans="1:8">
      <c r="A147" s="22">
        <v>144</v>
      </c>
      <c r="B147" s="25">
        <v>122</v>
      </c>
      <c r="C147" s="24" t="s">
        <v>804</v>
      </c>
      <c r="D147" s="25">
        <v>135</v>
      </c>
      <c r="E147" s="24" t="s">
        <v>551</v>
      </c>
      <c r="F147" s="23" t="s">
        <v>281</v>
      </c>
      <c r="G147" s="23"/>
      <c r="H147" s="23" t="s">
        <v>1031</v>
      </c>
    </row>
    <row r="148" spans="1:8">
      <c r="A148" s="22">
        <v>145</v>
      </c>
      <c r="B148" s="25">
        <v>122</v>
      </c>
      <c r="C148" s="24" t="s">
        <v>804</v>
      </c>
      <c r="D148" s="25">
        <v>136</v>
      </c>
      <c r="E148" s="24" t="s">
        <v>550</v>
      </c>
      <c r="F148" s="23" t="s">
        <v>281</v>
      </c>
      <c r="G148" s="23"/>
      <c r="H148" s="23" t="s">
        <v>1031</v>
      </c>
    </row>
    <row r="149" spans="1:8">
      <c r="A149" s="22">
        <v>146</v>
      </c>
      <c r="B149" s="25">
        <v>122</v>
      </c>
      <c r="C149" s="24" t="s">
        <v>804</v>
      </c>
      <c r="D149" s="25">
        <v>137</v>
      </c>
      <c r="E149" s="24" t="s">
        <v>549</v>
      </c>
      <c r="F149" s="26" t="s">
        <v>925</v>
      </c>
      <c r="G149" s="23" t="s">
        <v>1036</v>
      </c>
      <c r="H149" s="23" t="s">
        <v>1031</v>
      </c>
    </row>
    <row r="150" spans="1:8">
      <c r="A150" s="22">
        <v>147</v>
      </c>
      <c r="B150" s="25">
        <v>122</v>
      </c>
      <c r="C150" s="24" t="s">
        <v>804</v>
      </c>
      <c r="D150" s="25">
        <v>138</v>
      </c>
      <c r="E150" s="24" t="s">
        <v>548</v>
      </c>
      <c r="F150" s="26" t="s">
        <v>925</v>
      </c>
      <c r="G150" s="23" t="s">
        <v>1036</v>
      </c>
      <c r="H150" s="23" t="s">
        <v>1031</v>
      </c>
    </row>
    <row r="151" spans="1:8">
      <c r="A151" s="22">
        <v>148</v>
      </c>
      <c r="B151" s="25">
        <v>122</v>
      </c>
      <c r="C151" s="24" t="s">
        <v>804</v>
      </c>
      <c r="D151" s="25">
        <v>139</v>
      </c>
      <c r="E151" s="24" t="s">
        <v>547</v>
      </c>
      <c r="F151" s="23" t="s">
        <v>546</v>
      </c>
      <c r="G151" s="23"/>
      <c r="H151" s="23" t="s">
        <v>1031</v>
      </c>
    </row>
    <row r="152" spans="1:8">
      <c r="A152" s="22">
        <v>149</v>
      </c>
      <c r="B152" s="25">
        <v>122</v>
      </c>
      <c r="C152" s="24" t="s">
        <v>804</v>
      </c>
      <c r="D152" s="25">
        <v>140</v>
      </c>
      <c r="E152" s="24" t="s">
        <v>806</v>
      </c>
      <c r="F152" s="23" t="s">
        <v>328</v>
      </c>
      <c r="G152" s="23" t="s">
        <v>1036</v>
      </c>
      <c r="H152" s="23" t="s">
        <v>1031</v>
      </c>
    </row>
    <row r="153" spans="1:8">
      <c r="A153" s="22">
        <v>150</v>
      </c>
      <c r="B153" s="25">
        <v>122</v>
      </c>
      <c r="C153" s="24" t="s">
        <v>804</v>
      </c>
      <c r="D153" s="25">
        <v>141</v>
      </c>
      <c r="E153" s="24" t="s">
        <v>545</v>
      </c>
      <c r="F153" s="23" t="s">
        <v>328</v>
      </c>
      <c r="G153" s="23" t="s">
        <v>1036</v>
      </c>
      <c r="H153" s="23" t="s">
        <v>1031</v>
      </c>
    </row>
    <row r="154" spans="1:8">
      <c r="A154" s="22">
        <v>151</v>
      </c>
      <c r="B154" s="25">
        <v>122</v>
      </c>
      <c r="C154" s="24" t="s">
        <v>804</v>
      </c>
      <c r="D154" s="25">
        <v>142</v>
      </c>
      <c r="E154" s="24" t="s">
        <v>544</v>
      </c>
      <c r="F154" s="23" t="s">
        <v>328</v>
      </c>
      <c r="G154" s="23" t="s">
        <v>1036</v>
      </c>
      <c r="H154" s="23" t="s">
        <v>1031</v>
      </c>
    </row>
    <row r="155" spans="1:8">
      <c r="A155" s="22">
        <v>152</v>
      </c>
      <c r="B155" s="25">
        <v>122</v>
      </c>
      <c r="C155" s="24" t="s">
        <v>804</v>
      </c>
      <c r="D155" s="25">
        <v>143</v>
      </c>
      <c r="E155" s="24" t="s">
        <v>543</v>
      </c>
      <c r="F155" s="23" t="s">
        <v>542</v>
      </c>
      <c r="G155" s="23" t="s">
        <v>1036</v>
      </c>
      <c r="H155" s="23" t="s">
        <v>1031</v>
      </c>
    </row>
    <row r="156" spans="1:8">
      <c r="A156" s="22">
        <v>153</v>
      </c>
      <c r="B156" s="25">
        <v>122</v>
      </c>
      <c r="C156" s="24" t="s">
        <v>804</v>
      </c>
      <c r="D156" s="25">
        <v>144</v>
      </c>
      <c r="E156" s="24" t="s">
        <v>541</v>
      </c>
      <c r="F156" s="26" t="s">
        <v>926</v>
      </c>
      <c r="G156" s="23" t="s">
        <v>1036</v>
      </c>
      <c r="H156" s="23" t="s">
        <v>1031</v>
      </c>
    </row>
    <row r="157" spans="1:8">
      <c r="A157" s="22">
        <v>154</v>
      </c>
      <c r="B157" s="25">
        <v>122</v>
      </c>
      <c r="C157" s="24" t="s">
        <v>804</v>
      </c>
      <c r="D157" s="25">
        <v>145</v>
      </c>
      <c r="E157" s="24" t="s">
        <v>540</v>
      </c>
      <c r="F157" s="26" t="s">
        <v>927</v>
      </c>
      <c r="G157" s="23" t="s">
        <v>1036</v>
      </c>
      <c r="H157" s="23" t="s">
        <v>1031</v>
      </c>
    </row>
    <row r="158" spans="1:8">
      <c r="A158" s="22">
        <v>155</v>
      </c>
      <c r="B158" s="25">
        <v>122</v>
      </c>
      <c r="C158" s="24" t="s">
        <v>804</v>
      </c>
      <c r="D158" s="25">
        <v>146</v>
      </c>
      <c r="E158" s="24" t="s">
        <v>539</v>
      </c>
      <c r="F158" s="26" t="s">
        <v>928</v>
      </c>
      <c r="G158" s="23" t="s">
        <v>1036</v>
      </c>
      <c r="H158" s="23" t="s">
        <v>1031</v>
      </c>
    </row>
    <row r="159" spans="1:8">
      <c r="A159" s="22">
        <v>156</v>
      </c>
      <c r="B159" s="25">
        <v>122</v>
      </c>
      <c r="C159" s="24" t="s">
        <v>804</v>
      </c>
      <c r="D159" s="25">
        <v>147</v>
      </c>
      <c r="E159" s="24" t="s">
        <v>538</v>
      </c>
      <c r="F159" s="26" t="s">
        <v>929</v>
      </c>
      <c r="G159" s="23" t="s">
        <v>1036</v>
      </c>
      <c r="H159" s="23" t="s">
        <v>1031</v>
      </c>
    </row>
    <row r="160" spans="1:8">
      <c r="A160" s="22">
        <v>157</v>
      </c>
      <c r="B160" s="25">
        <v>122</v>
      </c>
      <c r="C160" s="24" t="s">
        <v>804</v>
      </c>
      <c r="D160" s="25">
        <v>148</v>
      </c>
      <c r="E160" s="24" t="s">
        <v>537</v>
      </c>
      <c r="F160" s="26" t="s">
        <v>930</v>
      </c>
      <c r="G160" s="23" t="s">
        <v>1036</v>
      </c>
      <c r="H160" s="23" t="s">
        <v>1031</v>
      </c>
    </row>
    <row r="161" spans="1:8">
      <c r="A161" s="22">
        <v>158</v>
      </c>
      <c r="B161" s="25">
        <v>122</v>
      </c>
      <c r="C161" s="24" t="s">
        <v>804</v>
      </c>
      <c r="D161" s="25">
        <v>149</v>
      </c>
      <c r="E161" s="24" t="s">
        <v>807</v>
      </c>
      <c r="F161" s="23" t="s">
        <v>535</v>
      </c>
      <c r="G161" s="23" t="s">
        <v>1036</v>
      </c>
      <c r="H161" s="23" t="s">
        <v>1031</v>
      </c>
    </row>
    <row r="162" spans="1:8">
      <c r="A162" s="22">
        <v>159</v>
      </c>
      <c r="B162" s="25">
        <v>122</v>
      </c>
      <c r="C162" s="24" t="s">
        <v>804</v>
      </c>
      <c r="D162" s="25">
        <v>150</v>
      </c>
      <c r="E162" s="24" t="s">
        <v>536</v>
      </c>
      <c r="F162" s="23" t="s">
        <v>535</v>
      </c>
      <c r="G162" s="23" t="s">
        <v>1036</v>
      </c>
      <c r="H162" s="23" t="s">
        <v>1031</v>
      </c>
    </row>
    <row r="163" spans="1:8">
      <c r="A163" s="22">
        <v>160</v>
      </c>
      <c r="B163" s="25">
        <v>122</v>
      </c>
      <c r="C163" s="24" t="s">
        <v>804</v>
      </c>
      <c r="D163" s="25">
        <v>151</v>
      </c>
      <c r="E163" s="24" t="s">
        <v>534</v>
      </c>
      <c r="F163" s="23" t="s">
        <v>533</v>
      </c>
      <c r="G163" s="23" t="s">
        <v>1036</v>
      </c>
      <c r="H163" s="23" t="s">
        <v>1031</v>
      </c>
    </row>
    <row r="164" spans="1:8">
      <c r="A164" s="22">
        <v>161</v>
      </c>
      <c r="B164" s="25">
        <v>122</v>
      </c>
      <c r="C164" s="24" t="s">
        <v>804</v>
      </c>
      <c r="D164" s="25">
        <v>152</v>
      </c>
      <c r="E164" s="24" t="s">
        <v>532</v>
      </c>
      <c r="F164" s="23" t="s">
        <v>530</v>
      </c>
      <c r="G164" s="23"/>
      <c r="H164" s="23" t="s">
        <v>1031</v>
      </c>
    </row>
    <row r="165" spans="1:8">
      <c r="A165" s="22">
        <v>162</v>
      </c>
      <c r="B165" s="25">
        <v>122</v>
      </c>
      <c r="C165" s="24" t="s">
        <v>804</v>
      </c>
      <c r="D165" s="25">
        <v>153</v>
      </c>
      <c r="E165" s="24" t="s">
        <v>531</v>
      </c>
      <c r="F165" s="23" t="s">
        <v>530</v>
      </c>
      <c r="G165" s="23"/>
      <c r="H165" s="23" t="s">
        <v>1031</v>
      </c>
    </row>
    <row r="166" spans="1:8">
      <c r="A166" s="22">
        <v>163</v>
      </c>
      <c r="B166" s="25">
        <v>122</v>
      </c>
      <c r="C166" s="24" t="s">
        <v>804</v>
      </c>
      <c r="D166" s="25">
        <v>154</v>
      </c>
      <c r="E166" s="24" t="s">
        <v>529</v>
      </c>
      <c r="F166" s="23" t="s">
        <v>528</v>
      </c>
      <c r="G166" s="23"/>
      <c r="H166" s="23" t="s">
        <v>1031</v>
      </c>
    </row>
    <row r="167" spans="1:8">
      <c r="A167" s="22">
        <v>164</v>
      </c>
      <c r="B167" s="25">
        <v>122</v>
      </c>
      <c r="C167" s="24" t="s">
        <v>804</v>
      </c>
      <c r="D167" s="25">
        <v>155</v>
      </c>
      <c r="E167" s="24" t="s">
        <v>527</v>
      </c>
      <c r="F167" s="23" t="s">
        <v>526</v>
      </c>
      <c r="G167" s="23"/>
      <c r="H167" s="23" t="s">
        <v>1031</v>
      </c>
    </row>
    <row r="168" spans="1:8">
      <c r="A168" s="22">
        <v>165</v>
      </c>
      <c r="B168" s="25">
        <v>122</v>
      </c>
      <c r="C168" s="24" t="s">
        <v>804</v>
      </c>
      <c r="D168" s="25">
        <v>156</v>
      </c>
      <c r="E168" s="24" t="s">
        <v>525</v>
      </c>
      <c r="F168" s="23" t="s">
        <v>524</v>
      </c>
      <c r="G168" s="23"/>
      <c r="H168" s="23" t="s">
        <v>1031</v>
      </c>
    </row>
    <row r="169" spans="1:8">
      <c r="A169" s="22">
        <v>166</v>
      </c>
      <c r="B169" s="25">
        <v>122</v>
      </c>
      <c r="C169" s="24" t="s">
        <v>804</v>
      </c>
      <c r="D169" s="25">
        <v>157</v>
      </c>
      <c r="E169" s="24" t="s">
        <v>523</v>
      </c>
      <c r="F169" s="23" t="s">
        <v>522</v>
      </c>
      <c r="G169" s="23" t="s">
        <v>1036</v>
      </c>
      <c r="H169" s="23" t="s">
        <v>1031</v>
      </c>
    </row>
    <row r="170" spans="1:8">
      <c r="A170" s="22">
        <v>167</v>
      </c>
      <c r="B170" s="25">
        <v>122</v>
      </c>
      <c r="C170" s="24" t="s">
        <v>804</v>
      </c>
      <c r="D170" s="25">
        <v>158</v>
      </c>
      <c r="E170" s="24" t="s">
        <v>521</v>
      </c>
      <c r="F170" s="23" t="s">
        <v>520</v>
      </c>
      <c r="G170" s="23" t="s">
        <v>1036</v>
      </c>
      <c r="H170" s="23" t="s">
        <v>1031</v>
      </c>
    </row>
    <row r="171" spans="1:8">
      <c r="A171" s="22">
        <v>168</v>
      </c>
      <c r="B171" s="25">
        <v>122</v>
      </c>
      <c r="C171" s="24" t="s">
        <v>804</v>
      </c>
      <c r="D171" s="25">
        <v>159</v>
      </c>
      <c r="E171" s="24" t="s">
        <v>519</v>
      </c>
      <c r="F171" s="23" t="s">
        <v>518</v>
      </c>
      <c r="G171" s="23"/>
      <c r="H171" s="23" t="s">
        <v>1031</v>
      </c>
    </row>
    <row r="172" spans="1:8">
      <c r="A172" s="22">
        <v>169</v>
      </c>
      <c r="B172" s="25">
        <v>122</v>
      </c>
      <c r="C172" s="24" t="s">
        <v>804</v>
      </c>
      <c r="D172" s="25">
        <v>160</v>
      </c>
      <c r="E172" s="24" t="s">
        <v>517</v>
      </c>
      <c r="F172" s="26" t="s">
        <v>931</v>
      </c>
      <c r="G172" s="23"/>
      <c r="H172" s="23" t="s">
        <v>1031</v>
      </c>
    </row>
    <row r="173" spans="1:8">
      <c r="A173" s="22">
        <v>170</v>
      </c>
      <c r="B173" s="25">
        <v>122</v>
      </c>
      <c r="C173" s="24" t="s">
        <v>804</v>
      </c>
      <c r="D173" s="25">
        <v>161</v>
      </c>
      <c r="E173" s="24" t="s">
        <v>516</v>
      </c>
      <c r="F173" s="23" t="s">
        <v>515</v>
      </c>
      <c r="G173" s="23" t="s">
        <v>1036</v>
      </c>
      <c r="H173" s="23" t="s">
        <v>1031</v>
      </c>
    </row>
    <row r="174" spans="1:8">
      <c r="A174" s="22">
        <v>171</v>
      </c>
      <c r="B174" s="25">
        <v>122</v>
      </c>
      <c r="C174" s="24" t="s">
        <v>804</v>
      </c>
      <c r="D174" s="25">
        <v>162</v>
      </c>
      <c r="E174" s="24" t="s">
        <v>514</v>
      </c>
      <c r="F174" s="26" t="s">
        <v>932</v>
      </c>
      <c r="G174" s="23" t="s">
        <v>1098</v>
      </c>
      <c r="H174" s="23" t="s">
        <v>1031</v>
      </c>
    </row>
    <row r="175" spans="1:8">
      <c r="A175" s="22">
        <v>172</v>
      </c>
      <c r="B175" s="25">
        <v>122</v>
      </c>
      <c r="C175" s="24" t="s">
        <v>804</v>
      </c>
      <c r="D175" s="25">
        <v>163</v>
      </c>
      <c r="E175" s="24" t="s">
        <v>513</v>
      </c>
      <c r="F175" s="23" t="s">
        <v>512</v>
      </c>
      <c r="G175" s="23"/>
      <c r="H175" s="23" t="s">
        <v>1031</v>
      </c>
    </row>
    <row r="176" spans="1:8">
      <c r="A176" s="22">
        <v>173</v>
      </c>
      <c r="B176" s="25">
        <v>122</v>
      </c>
      <c r="C176" s="24" t="s">
        <v>804</v>
      </c>
      <c r="D176" s="25">
        <v>164</v>
      </c>
      <c r="E176" s="24" t="s">
        <v>511</v>
      </c>
      <c r="F176" s="23" t="s">
        <v>510</v>
      </c>
      <c r="G176" s="23" t="s">
        <v>1036</v>
      </c>
      <c r="H176" s="23" t="s">
        <v>1031</v>
      </c>
    </row>
    <row r="177" spans="1:8">
      <c r="A177" s="22">
        <v>174</v>
      </c>
      <c r="B177" s="25">
        <v>122</v>
      </c>
      <c r="C177" s="24" t="s">
        <v>804</v>
      </c>
      <c r="D177" s="25">
        <v>165</v>
      </c>
      <c r="E177" s="24" t="s">
        <v>509</v>
      </c>
      <c r="F177" s="23" t="s">
        <v>497</v>
      </c>
      <c r="G177" s="23"/>
      <c r="H177" s="23" t="s">
        <v>1031</v>
      </c>
    </row>
    <row r="178" spans="1:8">
      <c r="A178" s="22">
        <v>175</v>
      </c>
      <c r="B178" s="25">
        <v>122</v>
      </c>
      <c r="C178" s="24" t="s">
        <v>804</v>
      </c>
      <c r="D178" s="25">
        <v>166</v>
      </c>
      <c r="E178" s="24" t="s">
        <v>508</v>
      </c>
      <c r="F178" s="23" t="s">
        <v>439</v>
      </c>
      <c r="G178" s="23"/>
      <c r="H178" s="23" t="s">
        <v>1031</v>
      </c>
    </row>
    <row r="179" spans="1:8">
      <c r="A179" s="22">
        <v>176</v>
      </c>
      <c r="B179" s="25">
        <v>122</v>
      </c>
      <c r="C179" s="24" t="s">
        <v>804</v>
      </c>
      <c r="D179" s="25">
        <v>167</v>
      </c>
      <c r="E179" s="24" t="s">
        <v>507</v>
      </c>
      <c r="F179" s="23" t="s">
        <v>328</v>
      </c>
      <c r="G179" s="23"/>
      <c r="H179" s="23" t="s">
        <v>1031</v>
      </c>
    </row>
    <row r="180" spans="1:8">
      <c r="A180" s="22">
        <v>177</v>
      </c>
      <c r="B180" s="25">
        <v>122</v>
      </c>
      <c r="C180" s="24" t="s">
        <v>804</v>
      </c>
      <c r="D180" s="25">
        <v>168</v>
      </c>
      <c r="E180" s="24" t="s">
        <v>506</v>
      </c>
      <c r="F180" s="23" t="s">
        <v>328</v>
      </c>
      <c r="G180" s="23"/>
      <c r="H180" s="23" t="s">
        <v>1031</v>
      </c>
    </row>
    <row r="181" spans="1:8">
      <c r="A181" s="22">
        <v>178</v>
      </c>
      <c r="B181" s="25">
        <v>122</v>
      </c>
      <c r="C181" s="24" t="s">
        <v>804</v>
      </c>
      <c r="D181" s="25">
        <v>169</v>
      </c>
      <c r="E181" s="24" t="s">
        <v>505</v>
      </c>
      <c r="F181" s="23" t="s">
        <v>504</v>
      </c>
      <c r="G181" s="23"/>
      <c r="H181" s="23" t="s">
        <v>1031</v>
      </c>
    </row>
    <row r="182" spans="1:8">
      <c r="A182" s="22">
        <v>179</v>
      </c>
      <c r="B182" s="25">
        <v>122</v>
      </c>
      <c r="C182" s="24" t="s">
        <v>804</v>
      </c>
      <c r="D182" s="25">
        <v>170</v>
      </c>
      <c r="E182" s="24" t="s">
        <v>503</v>
      </c>
      <c r="F182" s="23" t="s">
        <v>502</v>
      </c>
      <c r="G182" s="23"/>
      <c r="H182" s="23" t="s">
        <v>1031</v>
      </c>
    </row>
    <row r="183" spans="1:8">
      <c r="A183" s="22">
        <v>180</v>
      </c>
      <c r="B183" s="25">
        <v>122</v>
      </c>
      <c r="C183" s="24" t="s">
        <v>804</v>
      </c>
      <c r="D183" s="25">
        <v>171</v>
      </c>
      <c r="E183" s="24" t="s">
        <v>501</v>
      </c>
      <c r="F183" s="23" t="s">
        <v>500</v>
      </c>
      <c r="G183" s="23"/>
      <c r="H183" s="23" t="s">
        <v>1031</v>
      </c>
    </row>
    <row r="184" spans="1:8">
      <c r="A184" s="22">
        <v>181</v>
      </c>
      <c r="B184" s="25">
        <v>122</v>
      </c>
      <c r="C184" s="24" t="s">
        <v>804</v>
      </c>
      <c r="D184" s="25">
        <v>172</v>
      </c>
      <c r="E184" s="24" t="s">
        <v>499</v>
      </c>
      <c r="F184" s="23" t="s">
        <v>1099</v>
      </c>
      <c r="G184" s="23"/>
      <c r="H184" s="23" t="s">
        <v>1031</v>
      </c>
    </row>
    <row r="185" spans="1:8">
      <c r="A185" s="22">
        <v>182</v>
      </c>
      <c r="B185" s="25">
        <v>122</v>
      </c>
      <c r="C185" s="24" t="s">
        <v>804</v>
      </c>
      <c r="D185" s="25">
        <v>173</v>
      </c>
      <c r="E185" s="24" t="s">
        <v>498</v>
      </c>
      <c r="F185" s="26" t="s">
        <v>933</v>
      </c>
      <c r="G185" s="23"/>
      <c r="H185" s="23" t="s">
        <v>1031</v>
      </c>
    </row>
    <row r="186" spans="1:8">
      <c r="A186" s="22">
        <v>183</v>
      </c>
      <c r="B186" s="25">
        <v>122</v>
      </c>
      <c r="C186" s="24" t="s">
        <v>804</v>
      </c>
      <c r="D186" s="25">
        <v>174</v>
      </c>
      <c r="E186" s="24" t="s">
        <v>496</v>
      </c>
      <c r="F186" s="26" t="s">
        <v>934</v>
      </c>
      <c r="G186" s="23"/>
      <c r="H186" s="23" t="s">
        <v>1031</v>
      </c>
    </row>
    <row r="187" spans="1:8">
      <c r="A187" s="22">
        <v>184</v>
      </c>
      <c r="B187" s="25">
        <v>122</v>
      </c>
      <c r="C187" s="24" t="s">
        <v>804</v>
      </c>
      <c r="D187" s="25">
        <v>175</v>
      </c>
      <c r="E187" s="24" t="s">
        <v>495</v>
      </c>
      <c r="F187" s="23" t="s">
        <v>487</v>
      </c>
      <c r="G187" s="23"/>
      <c r="H187" s="23" t="s">
        <v>1031</v>
      </c>
    </row>
    <row r="188" spans="1:8">
      <c r="A188" s="22">
        <v>185</v>
      </c>
      <c r="B188" s="25">
        <v>122</v>
      </c>
      <c r="C188" s="24" t="s">
        <v>804</v>
      </c>
      <c r="D188" s="25">
        <v>176</v>
      </c>
      <c r="E188" s="24" t="s">
        <v>494</v>
      </c>
      <c r="F188" s="23" t="s">
        <v>493</v>
      </c>
      <c r="G188" s="23"/>
      <c r="H188" s="23" t="s">
        <v>1031</v>
      </c>
    </row>
    <row r="189" spans="1:8">
      <c r="A189" s="22">
        <v>186</v>
      </c>
      <c r="B189" s="25">
        <v>122</v>
      </c>
      <c r="C189" s="24" t="s">
        <v>804</v>
      </c>
      <c r="D189" s="25">
        <v>177</v>
      </c>
      <c r="E189" s="24" t="s">
        <v>492</v>
      </c>
      <c r="F189" s="23" t="s">
        <v>491</v>
      </c>
      <c r="G189" s="23"/>
      <c r="H189" s="23" t="s">
        <v>1031</v>
      </c>
    </row>
    <row r="190" spans="1:8">
      <c r="A190" s="22">
        <v>187</v>
      </c>
      <c r="B190" s="25">
        <v>122</v>
      </c>
      <c r="C190" s="24" t="s">
        <v>804</v>
      </c>
      <c r="D190" s="25">
        <v>178</v>
      </c>
      <c r="E190" s="24" t="s">
        <v>490</v>
      </c>
      <c r="F190" s="23" t="s">
        <v>489</v>
      </c>
      <c r="G190" s="23"/>
      <c r="H190" s="23" t="s">
        <v>1031</v>
      </c>
    </row>
    <row r="191" spans="1:8">
      <c r="A191" s="22">
        <v>188</v>
      </c>
      <c r="B191" s="25">
        <v>122</v>
      </c>
      <c r="C191" s="24" t="s">
        <v>804</v>
      </c>
      <c r="D191" s="25">
        <v>179</v>
      </c>
      <c r="E191" s="24" t="s">
        <v>488</v>
      </c>
      <c r="F191" s="23" t="s">
        <v>487</v>
      </c>
      <c r="G191" s="23"/>
      <c r="H191" s="23" t="s">
        <v>1031</v>
      </c>
    </row>
    <row r="192" spans="1:8">
      <c r="A192" s="22">
        <v>189</v>
      </c>
      <c r="B192" s="25">
        <v>122</v>
      </c>
      <c r="C192" s="24" t="s">
        <v>804</v>
      </c>
      <c r="D192" s="25">
        <v>180</v>
      </c>
      <c r="E192" s="24" t="s">
        <v>486</v>
      </c>
      <c r="F192" s="23" t="s">
        <v>485</v>
      </c>
      <c r="G192" s="23"/>
      <c r="H192" s="23" t="s">
        <v>1031</v>
      </c>
    </row>
    <row r="193" spans="1:8">
      <c r="A193" s="22">
        <v>190</v>
      </c>
      <c r="B193" s="25">
        <v>122</v>
      </c>
      <c r="C193" s="24" t="s">
        <v>804</v>
      </c>
      <c r="D193" s="25">
        <v>181</v>
      </c>
      <c r="E193" s="24" t="s">
        <v>484</v>
      </c>
      <c r="F193" s="23" t="s">
        <v>483</v>
      </c>
      <c r="G193" s="23" t="s">
        <v>1036</v>
      </c>
      <c r="H193" s="23" t="s">
        <v>1031</v>
      </c>
    </row>
    <row r="194" spans="1:8">
      <c r="A194" s="22">
        <v>191</v>
      </c>
      <c r="B194" s="25">
        <v>122</v>
      </c>
      <c r="C194" s="24" t="s">
        <v>804</v>
      </c>
      <c r="D194" s="25">
        <v>182</v>
      </c>
      <c r="E194" s="24" t="s">
        <v>482</v>
      </c>
      <c r="F194" s="26" t="s">
        <v>935</v>
      </c>
      <c r="G194" s="23" t="s">
        <v>1036</v>
      </c>
      <c r="H194" s="23" t="s">
        <v>1031</v>
      </c>
    </row>
    <row r="195" spans="1:8">
      <c r="A195" s="22">
        <v>192</v>
      </c>
      <c r="B195" s="25">
        <v>122</v>
      </c>
      <c r="C195" s="24" t="s">
        <v>804</v>
      </c>
      <c r="D195" s="25">
        <v>183</v>
      </c>
      <c r="E195" s="24" t="s">
        <v>481</v>
      </c>
      <c r="F195" s="23" t="s">
        <v>1100</v>
      </c>
      <c r="G195" s="23"/>
      <c r="H195" s="23" t="s">
        <v>1031</v>
      </c>
    </row>
    <row r="196" spans="1:8">
      <c r="A196" s="22">
        <v>193</v>
      </c>
      <c r="B196" s="25">
        <v>122</v>
      </c>
      <c r="C196" s="24" t="s">
        <v>804</v>
      </c>
      <c r="D196" s="25">
        <v>184</v>
      </c>
      <c r="E196" s="24" t="s">
        <v>480</v>
      </c>
      <c r="F196" s="23" t="s">
        <v>1101</v>
      </c>
      <c r="G196" s="23"/>
      <c r="H196" s="23" t="s">
        <v>1031</v>
      </c>
    </row>
    <row r="197" spans="1:8">
      <c r="A197" s="22">
        <v>194</v>
      </c>
      <c r="B197" s="25">
        <v>122</v>
      </c>
      <c r="C197" s="24" t="s">
        <v>804</v>
      </c>
      <c r="D197" s="25">
        <v>185</v>
      </c>
      <c r="E197" s="24" t="s">
        <v>479</v>
      </c>
      <c r="F197" s="23" t="s">
        <v>1102</v>
      </c>
      <c r="G197" s="23"/>
      <c r="H197" s="23" t="s">
        <v>1031</v>
      </c>
    </row>
    <row r="198" spans="1:8">
      <c r="A198" s="22">
        <v>195</v>
      </c>
      <c r="B198" s="25">
        <v>122</v>
      </c>
      <c r="C198" s="24" t="s">
        <v>804</v>
      </c>
      <c r="D198" s="25">
        <v>432</v>
      </c>
      <c r="E198" s="24" t="s">
        <v>808</v>
      </c>
      <c r="F198" s="23" t="s">
        <v>1094</v>
      </c>
      <c r="G198" s="23"/>
      <c r="H198" s="23" t="s">
        <v>1031</v>
      </c>
    </row>
    <row r="199" spans="1:8">
      <c r="A199" s="22">
        <v>196</v>
      </c>
      <c r="B199" s="25">
        <v>122</v>
      </c>
      <c r="C199" s="24" t="s">
        <v>804</v>
      </c>
      <c r="D199" s="25">
        <v>448</v>
      </c>
      <c r="E199" s="24" t="s">
        <v>809</v>
      </c>
      <c r="F199" s="23" t="s">
        <v>1095</v>
      </c>
      <c r="G199" s="23"/>
      <c r="H199" s="23" t="s">
        <v>1031</v>
      </c>
    </row>
    <row r="200" spans="1:8">
      <c r="A200" s="22">
        <v>197</v>
      </c>
      <c r="B200" s="25">
        <v>122</v>
      </c>
      <c r="C200" s="24" t="s">
        <v>804</v>
      </c>
      <c r="D200" s="25">
        <v>464</v>
      </c>
      <c r="E200" s="24" t="s">
        <v>810</v>
      </c>
      <c r="F200" s="23" t="s">
        <v>1096</v>
      </c>
      <c r="G200" s="23"/>
      <c r="H200" s="23" t="s">
        <v>1031</v>
      </c>
    </row>
    <row r="201" spans="1:8">
      <c r="A201" s="22">
        <v>198</v>
      </c>
      <c r="B201" s="25">
        <v>123</v>
      </c>
      <c r="C201" s="24" t="s">
        <v>811</v>
      </c>
      <c r="D201" s="25">
        <v>186</v>
      </c>
      <c r="E201" s="24" t="s">
        <v>812</v>
      </c>
      <c r="F201" s="26" t="s">
        <v>936</v>
      </c>
      <c r="G201" s="23"/>
      <c r="H201" s="23" t="s">
        <v>1031</v>
      </c>
    </row>
    <row r="202" spans="1:8">
      <c r="A202" s="22">
        <v>199</v>
      </c>
      <c r="B202" s="25">
        <v>123</v>
      </c>
      <c r="C202" s="24" t="s">
        <v>811</v>
      </c>
      <c r="D202" s="25">
        <v>187</v>
      </c>
      <c r="E202" s="24" t="s">
        <v>478</v>
      </c>
      <c r="F202" s="26" t="s">
        <v>936</v>
      </c>
      <c r="G202" s="23"/>
      <c r="H202" s="23" t="s">
        <v>1031</v>
      </c>
    </row>
    <row r="203" spans="1:8">
      <c r="A203" s="22">
        <v>200</v>
      </c>
      <c r="B203" s="25">
        <v>123</v>
      </c>
      <c r="C203" s="24" t="s">
        <v>811</v>
      </c>
      <c r="D203" s="25">
        <v>188</v>
      </c>
      <c r="E203" s="24" t="s">
        <v>477</v>
      </c>
      <c r="F203" s="23" t="s">
        <v>1103</v>
      </c>
      <c r="G203" s="23"/>
      <c r="H203" s="23" t="s">
        <v>1031</v>
      </c>
    </row>
    <row r="204" spans="1:8">
      <c r="A204" s="22">
        <v>201</v>
      </c>
      <c r="B204" s="25">
        <v>123</v>
      </c>
      <c r="C204" s="24" t="s">
        <v>811</v>
      </c>
      <c r="D204" s="25">
        <v>189</v>
      </c>
      <c r="E204" s="24" t="s">
        <v>476</v>
      </c>
      <c r="F204" s="26" t="s">
        <v>937</v>
      </c>
      <c r="G204" s="23"/>
      <c r="H204" s="23" t="s">
        <v>1031</v>
      </c>
    </row>
    <row r="205" spans="1:8">
      <c r="A205" s="22">
        <v>202</v>
      </c>
      <c r="B205" s="25">
        <v>123</v>
      </c>
      <c r="C205" s="24" t="s">
        <v>811</v>
      </c>
      <c r="D205" s="25">
        <v>190</v>
      </c>
      <c r="E205" s="24" t="s">
        <v>475</v>
      </c>
      <c r="F205" s="26" t="s">
        <v>938</v>
      </c>
      <c r="G205" s="23"/>
      <c r="H205" s="23" t="s">
        <v>1031</v>
      </c>
    </row>
    <row r="206" spans="1:8">
      <c r="A206" s="22">
        <v>203</v>
      </c>
      <c r="B206" s="25">
        <v>123</v>
      </c>
      <c r="C206" s="24" t="s">
        <v>811</v>
      </c>
      <c r="D206" s="25">
        <v>191</v>
      </c>
      <c r="E206" s="24" t="s">
        <v>474</v>
      </c>
      <c r="F206" s="23" t="s">
        <v>473</v>
      </c>
      <c r="G206" s="23" t="s">
        <v>1036</v>
      </c>
      <c r="H206" s="23" t="s">
        <v>1031</v>
      </c>
    </row>
    <row r="207" spans="1:8">
      <c r="A207" s="22">
        <v>204</v>
      </c>
      <c r="B207" s="25">
        <v>123</v>
      </c>
      <c r="C207" s="24" t="s">
        <v>811</v>
      </c>
      <c r="D207" s="25">
        <v>192</v>
      </c>
      <c r="E207" s="24" t="s">
        <v>813</v>
      </c>
      <c r="F207" s="26" t="s">
        <v>939</v>
      </c>
      <c r="G207" s="23" t="s">
        <v>1036</v>
      </c>
      <c r="H207" s="23" t="s">
        <v>1031</v>
      </c>
    </row>
    <row r="208" spans="1:8">
      <c r="A208" s="22">
        <v>205</v>
      </c>
      <c r="B208" s="25">
        <v>123</v>
      </c>
      <c r="C208" s="24" t="s">
        <v>811</v>
      </c>
      <c r="D208" s="25">
        <v>193</v>
      </c>
      <c r="E208" s="24" t="s">
        <v>472</v>
      </c>
      <c r="F208" s="26" t="s">
        <v>939</v>
      </c>
      <c r="G208" s="23" t="s">
        <v>1036</v>
      </c>
      <c r="H208" s="23" t="s">
        <v>1031</v>
      </c>
    </row>
    <row r="209" spans="1:8">
      <c r="A209" s="22">
        <v>206</v>
      </c>
      <c r="B209" s="25">
        <v>123</v>
      </c>
      <c r="C209" s="24" t="s">
        <v>811</v>
      </c>
      <c r="D209" s="25">
        <v>194</v>
      </c>
      <c r="E209" s="24" t="s">
        <v>471</v>
      </c>
      <c r="F209" s="26" t="s">
        <v>940</v>
      </c>
      <c r="G209" s="23" t="s">
        <v>1104</v>
      </c>
      <c r="H209" s="23" t="s">
        <v>1031</v>
      </c>
    </row>
    <row r="210" spans="1:8">
      <c r="A210" s="22">
        <v>207</v>
      </c>
      <c r="B210" s="25">
        <v>123</v>
      </c>
      <c r="C210" s="24" t="s">
        <v>811</v>
      </c>
      <c r="D210" s="25">
        <v>195</v>
      </c>
      <c r="E210" s="24" t="s">
        <v>470</v>
      </c>
      <c r="F210" s="26" t="s">
        <v>941</v>
      </c>
      <c r="G210" s="23" t="s">
        <v>1036</v>
      </c>
      <c r="H210" s="23" t="s">
        <v>1031</v>
      </c>
    </row>
    <row r="211" spans="1:8">
      <c r="A211" s="22">
        <v>208</v>
      </c>
      <c r="B211" s="25">
        <v>123</v>
      </c>
      <c r="C211" s="24" t="s">
        <v>811</v>
      </c>
      <c r="D211" s="25">
        <v>196</v>
      </c>
      <c r="E211" s="24" t="s">
        <v>469</v>
      </c>
      <c r="F211" s="26" t="s">
        <v>942</v>
      </c>
      <c r="G211" s="23" t="s">
        <v>1036</v>
      </c>
      <c r="H211" s="23" t="s">
        <v>1031</v>
      </c>
    </row>
    <row r="212" spans="1:8">
      <c r="A212" s="22">
        <v>209</v>
      </c>
      <c r="B212" s="25">
        <v>123</v>
      </c>
      <c r="C212" s="24" t="s">
        <v>811</v>
      </c>
      <c r="D212" s="25">
        <v>197</v>
      </c>
      <c r="E212" s="24" t="s">
        <v>468</v>
      </c>
      <c r="F212" s="26" t="s">
        <v>943</v>
      </c>
      <c r="G212" s="23" t="s">
        <v>1036</v>
      </c>
      <c r="H212" s="23" t="s">
        <v>1031</v>
      </c>
    </row>
    <row r="213" spans="1:8">
      <c r="A213" s="22">
        <v>210</v>
      </c>
      <c r="B213" s="25">
        <v>123</v>
      </c>
      <c r="C213" s="24" t="s">
        <v>811</v>
      </c>
      <c r="D213" s="25">
        <v>198</v>
      </c>
      <c r="E213" s="24" t="s">
        <v>467</v>
      </c>
      <c r="F213" s="26" t="s">
        <v>944</v>
      </c>
      <c r="G213" s="23" t="s">
        <v>1036</v>
      </c>
      <c r="H213" s="23" t="s">
        <v>1031</v>
      </c>
    </row>
    <row r="214" spans="1:8">
      <c r="A214" s="22">
        <v>211</v>
      </c>
      <c r="B214" s="25">
        <v>123</v>
      </c>
      <c r="C214" s="24" t="s">
        <v>811</v>
      </c>
      <c r="D214" s="25">
        <v>199</v>
      </c>
      <c r="E214" s="24" t="s">
        <v>466</v>
      </c>
      <c r="F214" s="26" t="s">
        <v>945</v>
      </c>
      <c r="G214" s="23" t="s">
        <v>1036</v>
      </c>
      <c r="H214" s="23" t="s">
        <v>1031</v>
      </c>
    </row>
    <row r="215" spans="1:8">
      <c r="A215" s="22">
        <v>212</v>
      </c>
      <c r="B215" s="25">
        <v>123</v>
      </c>
      <c r="C215" s="24" t="s">
        <v>811</v>
      </c>
      <c r="D215" s="25">
        <v>200</v>
      </c>
      <c r="E215" s="24" t="s">
        <v>465</v>
      </c>
      <c r="F215" s="26" t="s">
        <v>458</v>
      </c>
      <c r="G215" s="23" t="s">
        <v>1105</v>
      </c>
      <c r="H215" s="23" t="s">
        <v>1031</v>
      </c>
    </row>
    <row r="216" spans="1:8">
      <c r="A216" s="22">
        <v>213</v>
      </c>
      <c r="B216" s="25">
        <v>123</v>
      </c>
      <c r="C216" s="24" t="s">
        <v>811</v>
      </c>
      <c r="D216" s="25">
        <v>201</v>
      </c>
      <c r="E216" s="24" t="s">
        <v>464</v>
      </c>
      <c r="F216" s="23" t="s">
        <v>439</v>
      </c>
      <c r="G216" s="23" t="s">
        <v>1105</v>
      </c>
      <c r="H216" s="23" t="s">
        <v>1031</v>
      </c>
    </row>
    <row r="217" spans="1:8">
      <c r="A217" s="22">
        <v>214</v>
      </c>
      <c r="B217" s="25">
        <v>123</v>
      </c>
      <c r="C217" s="24" t="s">
        <v>811</v>
      </c>
      <c r="D217" s="25">
        <v>202</v>
      </c>
      <c r="E217" s="24" t="s">
        <v>463</v>
      </c>
      <c r="F217" s="23" t="s">
        <v>458</v>
      </c>
      <c r="G217" s="23" t="s">
        <v>1098</v>
      </c>
      <c r="H217" s="23" t="s">
        <v>1031</v>
      </c>
    </row>
    <row r="218" spans="1:8">
      <c r="A218" s="22">
        <v>215</v>
      </c>
      <c r="B218" s="25">
        <v>123</v>
      </c>
      <c r="C218" s="24" t="s">
        <v>811</v>
      </c>
      <c r="D218" s="25">
        <v>203</v>
      </c>
      <c r="E218" s="24" t="s">
        <v>462</v>
      </c>
      <c r="F218" s="23" t="s">
        <v>458</v>
      </c>
      <c r="G218" s="23"/>
      <c r="H218" s="23" t="s">
        <v>1031</v>
      </c>
    </row>
    <row r="219" spans="1:8">
      <c r="A219" s="22">
        <v>216</v>
      </c>
      <c r="B219" s="25">
        <v>123</v>
      </c>
      <c r="C219" s="24" t="s">
        <v>811</v>
      </c>
      <c r="D219" s="25">
        <v>204</v>
      </c>
      <c r="E219" s="24" t="s">
        <v>461</v>
      </c>
      <c r="F219" s="23" t="s">
        <v>458</v>
      </c>
      <c r="G219" s="23"/>
      <c r="H219" s="23" t="s">
        <v>1031</v>
      </c>
    </row>
    <row r="220" spans="1:8">
      <c r="A220" s="22">
        <v>217</v>
      </c>
      <c r="B220" s="25">
        <v>123</v>
      </c>
      <c r="C220" s="24" t="s">
        <v>811</v>
      </c>
      <c r="D220" s="25">
        <v>205</v>
      </c>
      <c r="E220" s="24" t="s">
        <v>460</v>
      </c>
      <c r="F220" s="23" t="s">
        <v>458</v>
      </c>
      <c r="G220" s="23" t="s">
        <v>1098</v>
      </c>
      <c r="H220" s="23" t="s">
        <v>1031</v>
      </c>
    </row>
    <row r="221" spans="1:8">
      <c r="A221" s="22">
        <v>218</v>
      </c>
      <c r="B221" s="25">
        <v>123</v>
      </c>
      <c r="C221" s="24" t="s">
        <v>811</v>
      </c>
      <c r="D221" s="25">
        <v>206</v>
      </c>
      <c r="E221" s="24" t="s">
        <v>459</v>
      </c>
      <c r="F221" s="23" t="s">
        <v>458</v>
      </c>
      <c r="G221" s="23" t="s">
        <v>1098</v>
      </c>
      <c r="H221" s="23" t="s">
        <v>1031</v>
      </c>
    </row>
    <row r="222" spans="1:8">
      <c r="A222" s="22">
        <v>219</v>
      </c>
      <c r="B222" s="25">
        <v>123</v>
      </c>
      <c r="C222" s="24" t="s">
        <v>811</v>
      </c>
      <c r="D222" s="25">
        <v>207</v>
      </c>
      <c r="E222" s="24" t="s">
        <v>457</v>
      </c>
      <c r="F222" s="23" t="s">
        <v>456</v>
      </c>
      <c r="G222" s="23" t="s">
        <v>1036</v>
      </c>
      <c r="H222" s="23" t="s">
        <v>1031</v>
      </c>
    </row>
    <row r="223" spans="1:8">
      <c r="A223" s="22">
        <v>220</v>
      </c>
      <c r="B223" s="25">
        <v>123</v>
      </c>
      <c r="C223" s="24" t="s">
        <v>811</v>
      </c>
      <c r="D223" s="25">
        <v>208</v>
      </c>
      <c r="E223" s="24" t="s">
        <v>455</v>
      </c>
      <c r="F223" s="23" t="s">
        <v>454</v>
      </c>
      <c r="G223" s="23" t="s">
        <v>1058</v>
      </c>
      <c r="H223" s="23" t="s">
        <v>1031</v>
      </c>
    </row>
    <row r="224" spans="1:8">
      <c r="A224" s="22">
        <v>221</v>
      </c>
      <c r="B224" s="25">
        <v>122</v>
      </c>
      <c r="C224" s="24" t="s">
        <v>804</v>
      </c>
      <c r="D224" s="25">
        <v>209</v>
      </c>
      <c r="E224" s="24" t="s">
        <v>453</v>
      </c>
      <c r="F224" s="23" t="s">
        <v>946</v>
      </c>
      <c r="G224" s="23"/>
      <c r="H224" s="23" t="s">
        <v>1031</v>
      </c>
    </row>
    <row r="225" spans="1:8">
      <c r="A225" s="22">
        <v>222</v>
      </c>
      <c r="B225" s="25">
        <v>123</v>
      </c>
      <c r="C225" s="24" t="s">
        <v>811</v>
      </c>
      <c r="D225" s="25">
        <v>210</v>
      </c>
      <c r="E225" s="24" t="s">
        <v>814</v>
      </c>
      <c r="F225" s="26" t="s">
        <v>947</v>
      </c>
      <c r="G225" s="23" t="s">
        <v>1036</v>
      </c>
      <c r="H225" s="23" t="s">
        <v>1031</v>
      </c>
    </row>
    <row r="226" spans="1:8">
      <c r="A226" s="22">
        <v>223</v>
      </c>
      <c r="B226" s="25">
        <v>123</v>
      </c>
      <c r="C226" s="24" t="s">
        <v>811</v>
      </c>
      <c r="D226" s="25">
        <v>211</v>
      </c>
      <c r="E226" s="24" t="s">
        <v>450</v>
      </c>
      <c r="F226" s="26" t="s">
        <v>947</v>
      </c>
      <c r="G226" s="23" t="s">
        <v>1036</v>
      </c>
      <c r="H226" s="23" t="s">
        <v>1031</v>
      </c>
    </row>
    <row r="227" spans="1:8">
      <c r="A227" s="22">
        <v>224</v>
      </c>
      <c r="B227" s="25">
        <v>123</v>
      </c>
      <c r="C227" s="24" t="s">
        <v>811</v>
      </c>
      <c r="D227" s="25">
        <v>212</v>
      </c>
      <c r="E227" s="24" t="s">
        <v>449</v>
      </c>
      <c r="F227" s="23" t="s">
        <v>328</v>
      </c>
      <c r="G227" s="23" t="s">
        <v>1036</v>
      </c>
      <c r="H227" s="23" t="s">
        <v>1031</v>
      </c>
    </row>
    <row r="228" spans="1:8">
      <c r="A228" s="22">
        <v>225</v>
      </c>
      <c r="B228" s="25">
        <v>123</v>
      </c>
      <c r="C228" s="24" t="s">
        <v>811</v>
      </c>
      <c r="D228" s="25">
        <v>213</v>
      </c>
      <c r="E228" s="24" t="s">
        <v>448</v>
      </c>
      <c r="F228" s="23" t="s">
        <v>328</v>
      </c>
      <c r="G228" s="23" t="s">
        <v>1036</v>
      </c>
      <c r="H228" s="23" t="s">
        <v>1031</v>
      </c>
    </row>
    <row r="229" spans="1:8">
      <c r="A229" s="22">
        <v>226</v>
      </c>
      <c r="B229" s="25">
        <v>123</v>
      </c>
      <c r="C229" s="24" t="s">
        <v>811</v>
      </c>
      <c r="D229" s="25">
        <v>214</v>
      </c>
      <c r="E229" s="24" t="s">
        <v>447</v>
      </c>
      <c r="F229" s="26" t="s">
        <v>948</v>
      </c>
      <c r="G229" s="23" t="s">
        <v>1058</v>
      </c>
      <c r="H229" s="23" t="s">
        <v>1031</v>
      </c>
    </row>
    <row r="230" spans="1:8">
      <c r="A230" s="22">
        <v>227</v>
      </c>
      <c r="B230" s="25">
        <v>123</v>
      </c>
      <c r="C230" s="24" t="s">
        <v>811</v>
      </c>
      <c r="D230" s="25">
        <v>215</v>
      </c>
      <c r="E230" s="24" t="s">
        <v>446</v>
      </c>
      <c r="F230" s="26" t="s">
        <v>949</v>
      </c>
      <c r="G230" s="23" t="s">
        <v>1036</v>
      </c>
      <c r="H230" s="23" t="s">
        <v>1031</v>
      </c>
    </row>
    <row r="231" spans="1:8">
      <c r="A231" s="22">
        <v>228</v>
      </c>
      <c r="B231" s="25">
        <v>123</v>
      </c>
      <c r="C231" s="24" t="s">
        <v>811</v>
      </c>
      <c r="D231" s="25">
        <v>216</v>
      </c>
      <c r="E231" s="24" t="s">
        <v>445</v>
      </c>
      <c r="F231" s="26" t="s">
        <v>950</v>
      </c>
      <c r="G231" s="23" t="s">
        <v>1036</v>
      </c>
      <c r="H231" s="23" t="s">
        <v>1031</v>
      </c>
    </row>
    <row r="232" spans="1:8">
      <c r="A232" s="22">
        <v>229</v>
      </c>
      <c r="B232" s="25">
        <v>123</v>
      </c>
      <c r="C232" s="24" t="s">
        <v>811</v>
      </c>
      <c r="D232" s="25">
        <v>217</v>
      </c>
      <c r="E232" s="24" t="s">
        <v>444</v>
      </c>
      <c r="F232" s="23" t="s">
        <v>443</v>
      </c>
      <c r="G232" s="23" t="s">
        <v>1036</v>
      </c>
      <c r="H232" s="23" t="s">
        <v>1031</v>
      </c>
    </row>
    <row r="233" spans="1:8">
      <c r="A233" s="22">
        <v>230</v>
      </c>
      <c r="B233" s="25">
        <v>123</v>
      </c>
      <c r="C233" s="24" t="s">
        <v>811</v>
      </c>
      <c r="D233" s="25">
        <v>218</v>
      </c>
      <c r="E233" s="24" t="s">
        <v>442</v>
      </c>
      <c r="F233" s="23" t="s">
        <v>441</v>
      </c>
      <c r="G233" s="23" t="s">
        <v>1036</v>
      </c>
      <c r="H233" s="23" t="s">
        <v>1031</v>
      </c>
    </row>
    <row r="234" spans="1:8">
      <c r="A234" s="22">
        <v>231</v>
      </c>
      <c r="B234" s="25">
        <v>123</v>
      </c>
      <c r="C234" s="24" t="s">
        <v>811</v>
      </c>
      <c r="D234" s="25">
        <v>219</v>
      </c>
      <c r="E234" s="24" t="s">
        <v>440</v>
      </c>
      <c r="F234" s="23" t="s">
        <v>439</v>
      </c>
      <c r="G234" s="23" t="s">
        <v>1036</v>
      </c>
      <c r="H234" s="23" t="s">
        <v>1031</v>
      </c>
    </row>
    <row r="235" spans="1:8">
      <c r="A235" s="22">
        <v>232</v>
      </c>
      <c r="B235" s="25">
        <v>123</v>
      </c>
      <c r="C235" s="24" t="s">
        <v>1106</v>
      </c>
      <c r="D235" s="25">
        <v>220</v>
      </c>
      <c r="E235" s="24" t="s">
        <v>438</v>
      </c>
      <c r="F235" s="23" t="s">
        <v>437</v>
      </c>
      <c r="G235" s="23" t="s">
        <v>1036</v>
      </c>
      <c r="H235" s="23" t="s">
        <v>1031</v>
      </c>
    </row>
    <row r="236" spans="1:8">
      <c r="A236" s="22">
        <v>233</v>
      </c>
      <c r="B236" s="25">
        <v>123</v>
      </c>
      <c r="C236" s="24" t="s">
        <v>811</v>
      </c>
      <c r="D236" s="25">
        <v>221</v>
      </c>
      <c r="E236" s="24" t="s">
        <v>436</v>
      </c>
      <c r="F236" s="23" t="s">
        <v>951</v>
      </c>
      <c r="G236" s="23" t="s">
        <v>1036</v>
      </c>
      <c r="H236" s="23" t="s">
        <v>1031</v>
      </c>
    </row>
    <row r="237" spans="1:8">
      <c r="A237" s="22">
        <v>234</v>
      </c>
      <c r="B237" s="25">
        <v>123</v>
      </c>
      <c r="C237" s="24" t="s">
        <v>811</v>
      </c>
      <c r="D237" s="25">
        <v>433</v>
      </c>
      <c r="E237" s="24" t="s">
        <v>815</v>
      </c>
      <c r="F237" s="23" t="s">
        <v>1094</v>
      </c>
      <c r="G237" s="23"/>
      <c r="H237" s="23" t="s">
        <v>1031</v>
      </c>
    </row>
    <row r="238" spans="1:8">
      <c r="A238" s="22">
        <v>235</v>
      </c>
      <c r="B238" s="25">
        <v>123</v>
      </c>
      <c r="C238" s="24" t="s">
        <v>811</v>
      </c>
      <c r="D238" s="25">
        <v>449</v>
      </c>
      <c r="E238" s="24" t="s">
        <v>816</v>
      </c>
      <c r="F238" s="23" t="s">
        <v>1095</v>
      </c>
      <c r="G238" s="23"/>
      <c r="H238" s="23" t="s">
        <v>1031</v>
      </c>
    </row>
    <row r="239" spans="1:8">
      <c r="A239" s="22">
        <v>236</v>
      </c>
      <c r="B239" s="25">
        <v>123</v>
      </c>
      <c r="C239" s="24" t="s">
        <v>811</v>
      </c>
      <c r="D239" s="25">
        <v>465</v>
      </c>
      <c r="E239" s="24" t="s">
        <v>817</v>
      </c>
      <c r="F239" s="23" t="s">
        <v>1096</v>
      </c>
      <c r="G239" s="23"/>
      <c r="H239" s="23" t="s">
        <v>1031</v>
      </c>
    </row>
    <row r="240" spans="1:8">
      <c r="A240" s="22">
        <v>237</v>
      </c>
      <c r="B240" s="25">
        <v>131</v>
      </c>
      <c r="C240" s="24" t="s">
        <v>818</v>
      </c>
      <c r="D240" s="25">
        <v>222</v>
      </c>
      <c r="E240" s="24" t="s">
        <v>433</v>
      </c>
      <c r="F240" s="23" t="s">
        <v>432</v>
      </c>
      <c r="G240" s="23" t="s">
        <v>1036</v>
      </c>
      <c r="H240" s="23" t="s">
        <v>1032</v>
      </c>
    </row>
    <row r="241" spans="1:8">
      <c r="A241" s="22">
        <v>238</v>
      </c>
      <c r="B241" s="25">
        <v>131</v>
      </c>
      <c r="C241" s="24" t="s">
        <v>818</v>
      </c>
      <c r="D241" s="25">
        <v>223</v>
      </c>
      <c r="E241" s="24" t="s">
        <v>819</v>
      </c>
      <c r="F241" s="23" t="s">
        <v>328</v>
      </c>
      <c r="G241" s="23" t="s">
        <v>1036</v>
      </c>
      <c r="H241" s="23" t="s">
        <v>1032</v>
      </c>
    </row>
    <row r="242" spans="1:8">
      <c r="A242" s="22">
        <v>239</v>
      </c>
      <c r="B242" s="25">
        <v>131</v>
      </c>
      <c r="C242" s="24" t="s">
        <v>818</v>
      </c>
      <c r="D242" s="25">
        <v>224</v>
      </c>
      <c r="E242" s="24" t="s">
        <v>431</v>
      </c>
      <c r="F242" s="23" t="s">
        <v>328</v>
      </c>
      <c r="G242" s="23" t="s">
        <v>1036</v>
      </c>
      <c r="H242" s="23" t="s">
        <v>1032</v>
      </c>
    </row>
    <row r="243" spans="1:8">
      <c r="A243" s="22">
        <v>240</v>
      </c>
      <c r="B243" s="25">
        <v>131</v>
      </c>
      <c r="C243" s="24" t="s">
        <v>818</v>
      </c>
      <c r="D243" s="25">
        <v>225</v>
      </c>
      <c r="E243" s="24" t="s">
        <v>430</v>
      </c>
      <c r="F243" s="23" t="s">
        <v>328</v>
      </c>
      <c r="G243" s="23" t="s">
        <v>1036</v>
      </c>
      <c r="H243" s="23" t="s">
        <v>1032</v>
      </c>
    </row>
    <row r="244" spans="1:8">
      <c r="A244" s="22">
        <v>241</v>
      </c>
      <c r="B244" s="25">
        <v>131</v>
      </c>
      <c r="C244" s="24" t="s">
        <v>818</v>
      </c>
      <c r="D244" s="25">
        <v>226</v>
      </c>
      <c r="E244" s="24" t="s">
        <v>429</v>
      </c>
      <c r="F244" s="23" t="s">
        <v>427</v>
      </c>
      <c r="G244" s="23" t="s">
        <v>1036</v>
      </c>
      <c r="H244" s="23" t="s">
        <v>1032</v>
      </c>
    </row>
    <row r="245" spans="1:8">
      <c r="A245" s="22">
        <v>242</v>
      </c>
      <c r="B245" s="25">
        <v>131</v>
      </c>
      <c r="C245" s="24" t="s">
        <v>818</v>
      </c>
      <c r="D245" s="25">
        <v>227</v>
      </c>
      <c r="E245" s="24" t="s">
        <v>428</v>
      </c>
      <c r="F245" s="23" t="s">
        <v>427</v>
      </c>
      <c r="G245" s="23" t="s">
        <v>1036</v>
      </c>
      <c r="H245" s="23" t="s">
        <v>1032</v>
      </c>
    </row>
    <row r="246" spans="1:8">
      <c r="A246" s="22">
        <v>243</v>
      </c>
      <c r="B246" s="25">
        <v>131</v>
      </c>
      <c r="C246" s="24" t="s">
        <v>818</v>
      </c>
      <c r="D246" s="25">
        <v>228</v>
      </c>
      <c r="E246" s="24" t="s">
        <v>426</v>
      </c>
      <c r="F246" s="23" t="s">
        <v>425</v>
      </c>
      <c r="G246" s="23" t="s">
        <v>1037</v>
      </c>
      <c r="H246" s="23" t="s">
        <v>1032</v>
      </c>
    </row>
    <row r="247" spans="1:8">
      <c r="A247" s="22">
        <v>244</v>
      </c>
      <c r="B247" s="25">
        <v>131</v>
      </c>
      <c r="C247" s="24" t="s">
        <v>818</v>
      </c>
      <c r="D247" s="25">
        <v>229</v>
      </c>
      <c r="E247" s="24" t="s">
        <v>424</v>
      </c>
      <c r="F247" s="23" t="s">
        <v>423</v>
      </c>
      <c r="G247" s="23" t="s">
        <v>1036</v>
      </c>
      <c r="H247" s="23" t="s">
        <v>1032</v>
      </c>
    </row>
    <row r="248" spans="1:8">
      <c r="A248" s="22">
        <v>245</v>
      </c>
      <c r="B248" s="25">
        <v>131</v>
      </c>
      <c r="C248" s="24" t="s">
        <v>818</v>
      </c>
      <c r="D248" s="25">
        <v>230</v>
      </c>
      <c r="E248" s="24" t="s">
        <v>422</v>
      </c>
      <c r="F248" s="23" t="s">
        <v>411</v>
      </c>
      <c r="G248" s="23"/>
      <c r="H248" s="23" t="s">
        <v>1032</v>
      </c>
    </row>
    <row r="249" spans="1:8">
      <c r="A249" s="22">
        <v>246</v>
      </c>
      <c r="B249" s="25">
        <v>131</v>
      </c>
      <c r="C249" s="24" t="s">
        <v>818</v>
      </c>
      <c r="D249" s="25">
        <v>231</v>
      </c>
      <c r="E249" s="24" t="s">
        <v>421</v>
      </c>
      <c r="F249" s="23" t="s">
        <v>420</v>
      </c>
      <c r="G249" s="23"/>
      <c r="H249" s="23" t="s">
        <v>1032</v>
      </c>
    </row>
    <row r="250" spans="1:8">
      <c r="A250" s="22">
        <v>247</v>
      </c>
      <c r="B250" s="25">
        <v>131</v>
      </c>
      <c r="C250" s="24" t="s">
        <v>818</v>
      </c>
      <c r="D250" s="25">
        <v>232</v>
      </c>
      <c r="E250" s="24" t="s">
        <v>419</v>
      </c>
      <c r="F250" s="23" t="s">
        <v>418</v>
      </c>
      <c r="G250" s="23"/>
      <c r="H250" s="23" t="s">
        <v>1032</v>
      </c>
    </row>
    <row r="251" spans="1:8">
      <c r="A251" s="22">
        <v>248</v>
      </c>
      <c r="B251" s="25">
        <v>131</v>
      </c>
      <c r="C251" s="24" t="s">
        <v>818</v>
      </c>
      <c r="D251" s="25">
        <v>233</v>
      </c>
      <c r="E251" s="24" t="s">
        <v>416</v>
      </c>
      <c r="F251" s="23" t="s">
        <v>415</v>
      </c>
      <c r="G251" s="23"/>
      <c r="H251" s="23" t="s">
        <v>1032</v>
      </c>
    </row>
    <row r="252" spans="1:8">
      <c r="A252" s="22">
        <v>249</v>
      </c>
      <c r="B252" s="25">
        <v>131</v>
      </c>
      <c r="C252" s="24" t="s">
        <v>818</v>
      </c>
      <c r="D252" s="25">
        <v>234</v>
      </c>
      <c r="E252" s="24" t="s">
        <v>414</v>
      </c>
      <c r="F252" s="23" t="s">
        <v>413</v>
      </c>
      <c r="G252" s="23"/>
      <c r="H252" s="23" t="s">
        <v>1032</v>
      </c>
    </row>
    <row r="253" spans="1:8">
      <c r="A253" s="22">
        <v>250</v>
      </c>
      <c r="B253" s="25">
        <v>131</v>
      </c>
      <c r="C253" s="24" t="s">
        <v>818</v>
      </c>
      <c r="D253" s="25">
        <v>235</v>
      </c>
      <c r="E253" s="24" t="s">
        <v>412</v>
      </c>
      <c r="F253" s="23" t="s">
        <v>411</v>
      </c>
      <c r="G253" s="23"/>
      <c r="H253" s="23" t="s">
        <v>1032</v>
      </c>
    </row>
    <row r="254" spans="1:8">
      <c r="A254" s="22">
        <v>251</v>
      </c>
      <c r="B254" s="25">
        <v>131</v>
      </c>
      <c r="C254" s="24" t="s">
        <v>818</v>
      </c>
      <c r="D254" s="25">
        <v>236</v>
      </c>
      <c r="E254" s="24" t="s">
        <v>410</v>
      </c>
      <c r="F254" s="23" t="s">
        <v>409</v>
      </c>
      <c r="G254" s="23"/>
      <c r="H254" s="23" t="s">
        <v>1032</v>
      </c>
    </row>
    <row r="255" spans="1:8">
      <c r="A255" s="22">
        <v>252</v>
      </c>
      <c r="B255" s="25">
        <v>131</v>
      </c>
      <c r="C255" s="24" t="s">
        <v>818</v>
      </c>
      <c r="D255" s="25">
        <v>237</v>
      </c>
      <c r="E255" s="24" t="s">
        <v>408</v>
      </c>
      <c r="F255" s="23" t="s">
        <v>407</v>
      </c>
      <c r="G255" s="23"/>
      <c r="H255" s="23" t="s">
        <v>1032</v>
      </c>
    </row>
    <row r="256" spans="1:8">
      <c r="A256" s="22">
        <v>253</v>
      </c>
      <c r="B256" s="25">
        <v>131</v>
      </c>
      <c r="C256" s="24" t="s">
        <v>818</v>
      </c>
      <c r="D256" s="25">
        <v>238</v>
      </c>
      <c r="E256" s="24" t="s">
        <v>406</v>
      </c>
      <c r="F256" s="23" t="s">
        <v>404</v>
      </c>
      <c r="G256" s="23"/>
      <c r="H256" s="23" t="s">
        <v>1032</v>
      </c>
    </row>
    <row r="257" spans="1:8">
      <c r="A257" s="22">
        <v>254</v>
      </c>
      <c r="B257" s="25">
        <v>131</v>
      </c>
      <c r="C257" s="24" t="s">
        <v>818</v>
      </c>
      <c r="D257" s="25">
        <v>239</v>
      </c>
      <c r="E257" s="24" t="s">
        <v>405</v>
      </c>
      <c r="F257" s="23" t="s">
        <v>404</v>
      </c>
      <c r="G257" s="23"/>
      <c r="H257" s="23" t="s">
        <v>1032</v>
      </c>
    </row>
    <row r="258" spans="1:8">
      <c r="A258" s="22">
        <v>255</v>
      </c>
      <c r="B258" s="25">
        <v>131</v>
      </c>
      <c r="C258" s="24" t="s">
        <v>818</v>
      </c>
      <c r="D258" s="25">
        <v>240</v>
      </c>
      <c r="E258" s="24" t="s">
        <v>403</v>
      </c>
      <c r="F258" s="23" t="s">
        <v>402</v>
      </c>
      <c r="G258" s="23"/>
      <c r="H258" s="23" t="s">
        <v>1032</v>
      </c>
    </row>
    <row r="259" spans="1:8">
      <c r="A259" s="22">
        <v>256</v>
      </c>
      <c r="B259" s="25">
        <v>131</v>
      </c>
      <c r="C259" s="24" t="s">
        <v>818</v>
      </c>
      <c r="D259" s="25">
        <v>241</v>
      </c>
      <c r="E259" s="24" t="s">
        <v>401</v>
      </c>
      <c r="F259" s="23" t="s">
        <v>400</v>
      </c>
      <c r="G259" s="23"/>
      <c r="H259" s="23" t="s">
        <v>1032</v>
      </c>
    </row>
    <row r="260" spans="1:8">
      <c r="A260" s="22">
        <v>257</v>
      </c>
      <c r="B260" s="25">
        <v>131</v>
      </c>
      <c r="C260" s="24" t="s">
        <v>818</v>
      </c>
      <c r="D260" s="25">
        <v>242</v>
      </c>
      <c r="E260" s="24" t="s">
        <v>399</v>
      </c>
      <c r="F260" s="23" t="s">
        <v>398</v>
      </c>
      <c r="G260" s="23"/>
      <c r="H260" s="23" t="s">
        <v>1032</v>
      </c>
    </row>
    <row r="261" spans="1:8">
      <c r="A261" s="22">
        <v>258</v>
      </c>
      <c r="B261" s="25">
        <v>131</v>
      </c>
      <c r="C261" s="24" t="s">
        <v>818</v>
      </c>
      <c r="D261" s="25">
        <v>243</v>
      </c>
      <c r="E261" s="24" t="s">
        <v>820</v>
      </c>
      <c r="F261" s="23" t="s">
        <v>396</v>
      </c>
      <c r="G261" s="23"/>
      <c r="H261" s="23" t="s">
        <v>1032</v>
      </c>
    </row>
    <row r="262" spans="1:8">
      <c r="A262" s="22">
        <v>259</v>
      </c>
      <c r="B262" s="25">
        <v>131</v>
      </c>
      <c r="C262" s="24" t="s">
        <v>818</v>
      </c>
      <c r="D262" s="25">
        <v>244</v>
      </c>
      <c r="E262" s="24" t="s">
        <v>397</v>
      </c>
      <c r="F262" s="23" t="s">
        <v>396</v>
      </c>
      <c r="G262" s="23"/>
      <c r="H262" s="23" t="s">
        <v>1032</v>
      </c>
    </row>
    <row r="263" spans="1:8">
      <c r="A263" s="22">
        <v>260</v>
      </c>
      <c r="B263" s="25">
        <v>131</v>
      </c>
      <c r="C263" s="24" t="s">
        <v>818</v>
      </c>
      <c r="D263" s="25">
        <v>245</v>
      </c>
      <c r="E263" s="24" t="s">
        <v>395</v>
      </c>
      <c r="F263" s="23" t="s">
        <v>394</v>
      </c>
      <c r="G263" s="23"/>
      <c r="H263" s="23" t="s">
        <v>1032</v>
      </c>
    </row>
    <row r="264" spans="1:8">
      <c r="A264" s="22">
        <v>261</v>
      </c>
      <c r="B264" s="25">
        <v>131</v>
      </c>
      <c r="C264" s="24" t="s">
        <v>818</v>
      </c>
      <c r="D264" s="25">
        <v>246</v>
      </c>
      <c r="E264" s="24" t="s">
        <v>393</v>
      </c>
      <c r="F264" s="23" t="s">
        <v>392</v>
      </c>
      <c r="G264" s="23"/>
      <c r="H264" s="23" t="s">
        <v>1032</v>
      </c>
    </row>
    <row r="265" spans="1:8">
      <c r="A265" s="22">
        <v>262</v>
      </c>
      <c r="B265" s="25">
        <v>131</v>
      </c>
      <c r="C265" s="24" t="s">
        <v>818</v>
      </c>
      <c r="D265" s="25">
        <v>247</v>
      </c>
      <c r="E265" s="24" t="s">
        <v>391</v>
      </c>
      <c r="F265" s="23" t="s">
        <v>390</v>
      </c>
      <c r="G265" s="23"/>
      <c r="H265" s="23" t="s">
        <v>1032</v>
      </c>
    </row>
    <row r="266" spans="1:8">
      <c r="A266" s="22">
        <v>263</v>
      </c>
      <c r="B266" s="25">
        <v>131</v>
      </c>
      <c r="C266" s="24" t="s">
        <v>818</v>
      </c>
      <c r="D266" s="25">
        <v>434</v>
      </c>
      <c r="E266" s="24" t="s">
        <v>821</v>
      </c>
      <c r="F266" s="23" t="s">
        <v>1094</v>
      </c>
      <c r="G266" s="23"/>
      <c r="H266" s="23" t="s">
        <v>1032</v>
      </c>
    </row>
    <row r="267" spans="1:8">
      <c r="A267" s="22">
        <v>264</v>
      </c>
      <c r="B267" s="25">
        <v>131</v>
      </c>
      <c r="C267" s="24" t="s">
        <v>818</v>
      </c>
      <c r="D267" s="25">
        <v>450</v>
      </c>
      <c r="E267" s="24" t="s">
        <v>822</v>
      </c>
      <c r="F267" s="23" t="s">
        <v>1095</v>
      </c>
      <c r="G267" s="23"/>
      <c r="H267" s="23" t="s">
        <v>1032</v>
      </c>
    </row>
    <row r="268" spans="1:8">
      <c r="A268" s="22">
        <v>265</v>
      </c>
      <c r="B268" s="25">
        <v>131</v>
      </c>
      <c r="C268" s="24" t="s">
        <v>818</v>
      </c>
      <c r="D268" s="25">
        <v>466</v>
      </c>
      <c r="E268" s="24" t="s">
        <v>823</v>
      </c>
      <c r="F268" s="23" t="s">
        <v>1096</v>
      </c>
      <c r="G268" s="23"/>
      <c r="H268" s="23" t="s">
        <v>1032</v>
      </c>
    </row>
    <row r="269" spans="1:8">
      <c r="A269" s="22">
        <v>266</v>
      </c>
      <c r="B269" s="25">
        <v>132</v>
      </c>
      <c r="C269" s="24" t="s">
        <v>824</v>
      </c>
      <c r="D269" s="25">
        <v>248</v>
      </c>
      <c r="E269" s="24" t="s">
        <v>374</v>
      </c>
      <c r="F269" s="23" t="s">
        <v>373</v>
      </c>
      <c r="G269" s="23"/>
      <c r="H269" s="23" t="s">
        <v>1032</v>
      </c>
    </row>
    <row r="270" spans="1:8">
      <c r="A270" s="22">
        <v>267</v>
      </c>
      <c r="B270" s="25">
        <v>132</v>
      </c>
      <c r="C270" s="24" t="s">
        <v>824</v>
      </c>
      <c r="D270" s="25">
        <v>249</v>
      </c>
      <c r="E270" s="24" t="s">
        <v>372</v>
      </c>
      <c r="F270" s="23" t="s">
        <v>371</v>
      </c>
      <c r="G270" s="23"/>
      <c r="H270" s="23" t="s">
        <v>1032</v>
      </c>
    </row>
    <row r="271" spans="1:8">
      <c r="A271" s="22">
        <v>268</v>
      </c>
      <c r="B271" s="25">
        <v>132</v>
      </c>
      <c r="C271" s="24" t="s">
        <v>824</v>
      </c>
      <c r="D271" s="25">
        <v>250</v>
      </c>
      <c r="E271" s="24" t="s">
        <v>370</v>
      </c>
      <c r="F271" s="23" t="s">
        <v>369</v>
      </c>
      <c r="G271" s="23"/>
      <c r="H271" s="23" t="s">
        <v>1032</v>
      </c>
    </row>
    <row r="272" spans="1:8">
      <c r="A272" s="22">
        <v>269</v>
      </c>
      <c r="B272" s="25">
        <v>132</v>
      </c>
      <c r="C272" s="24" t="s">
        <v>824</v>
      </c>
      <c r="D272" s="25">
        <v>251</v>
      </c>
      <c r="E272" s="24" t="s">
        <v>368</v>
      </c>
      <c r="F272" s="23" t="s">
        <v>367</v>
      </c>
      <c r="G272" s="23"/>
      <c r="H272" s="23" t="s">
        <v>1032</v>
      </c>
    </row>
    <row r="273" spans="1:8">
      <c r="A273" s="22">
        <v>270</v>
      </c>
      <c r="B273" s="25">
        <v>132</v>
      </c>
      <c r="C273" s="24" t="s">
        <v>824</v>
      </c>
      <c r="D273" s="25">
        <v>252</v>
      </c>
      <c r="E273" s="24" t="s">
        <v>366</v>
      </c>
      <c r="F273" s="23" t="s">
        <v>365</v>
      </c>
      <c r="G273" s="23"/>
      <c r="H273" s="23" t="s">
        <v>1032</v>
      </c>
    </row>
    <row r="274" spans="1:8">
      <c r="A274" s="22">
        <v>271</v>
      </c>
      <c r="B274" s="25">
        <v>132</v>
      </c>
      <c r="C274" s="24" t="s">
        <v>824</v>
      </c>
      <c r="D274" s="25">
        <v>253</v>
      </c>
      <c r="E274" s="24" t="s">
        <v>364</v>
      </c>
      <c r="F274" s="23" t="s">
        <v>363</v>
      </c>
      <c r="G274" s="23"/>
      <c r="H274" s="23" t="s">
        <v>1032</v>
      </c>
    </row>
    <row r="275" spans="1:8">
      <c r="A275" s="22">
        <v>272</v>
      </c>
      <c r="B275" s="25">
        <v>132</v>
      </c>
      <c r="C275" s="24" t="s">
        <v>824</v>
      </c>
      <c r="D275" s="25">
        <v>254</v>
      </c>
      <c r="E275" s="24" t="s">
        <v>362</v>
      </c>
      <c r="F275" s="23" t="s">
        <v>361</v>
      </c>
      <c r="G275" s="23"/>
      <c r="H275" s="23" t="s">
        <v>1032</v>
      </c>
    </row>
    <row r="276" spans="1:8">
      <c r="A276" s="22">
        <v>273</v>
      </c>
      <c r="B276" s="25">
        <v>132</v>
      </c>
      <c r="C276" s="24" t="s">
        <v>824</v>
      </c>
      <c r="D276" s="25">
        <v>435</v>
      </c>
      <c r="E276" s="24" t="s">
        <v>825</v>
      </c>
      <c r="F276" s="23" t="s">
        <v>1094</v>
      </c>
      <c r="G276" s="23"/>
      <c r="H276" s="23" t="s">
        <v>1032</v>
      </c>
    </row>
    <row r="277" spans="1:8">
      <c r="A277" s="22">
        <v>274</v>
      </c>
      <c r="B277" s="25">
        <v>132</v>
      </c>
      <c r="C277" s="24" t="s">
        <v>824</v>
      </c>
      <c r="D277" s="25">
        <v>451</v>
      </c>
      <c r="E277" s="24" t="s">
        <v>826</v>
      </c>
      <c r="F277" s="23" t="s">
        <v>1095</v>
      </c>
      <c r="G277" s="23"/>
      <c r="H277" s="23" t="s">
        <v>1032</v>
      </c>
    </row>
    <row r="278" spans="1:8">
      <c r="A278" s="22">
        <v>275</v>
      </c>
      <c r="B278" s="25">
        <v>132</v>
      </c>
      <c r="C278" s="24" t="s">
        <v>824</v>
      </c>
      <c r="D278" s="25">
        <v>467</v>
      </c>
      <c r="E278" s="24" t="s">
        <v>827</v>
      </c>
      <c r="F278" s="23" t="s">
        <v>1096</v>
      </c>
      <c r="G278" s="23"/>
      <c r="H278" s="23" t="s">
        <v>1032</v>
      </c>
    </row>
    <row r="279" spans="1:8">
      <c r="A279" s="22">
        <v>276</v>
      </c>
      <c r="B279" s="25">
        <v>133</v>
      </c>
      <c r="C279" s="24" t="s">
        <v>828</v>
      </c>
      <c r="D279" s="25">
        <v>255</v>
      </c>
      <c r="E279" s="24" t="s">
        <v>360</v>
      </c>
      <c r="F279" s="26" t="s">
        <v>952</v>
      </c>
      <c r="G279" s="23"/>
      <c r="H279" s="23" t="s">
        <v>1032</v>
      </c>
    </row>
    <row r="280" spans="1:8">
      <c r="A280" s="22">
        <v>277</v>
      </c>
      <c r="B280" s="25">
        <v>133</v>
      </c>
      <c r="C280" s="24" t="s">
        <v>828</v>
      </c>
      <c r="D280" s="25">
        <v>256</v>
      </c>
      <c r="E280" s="24" t="s">
        <v>359</v>
      </c>
      <c r="F280" s="23" t="s">
        <v>358</v>
      </c>
      <c r="G280" s="23"/>
      <c r="H280" s="23" t="s">
        <v>1032</v>
      </c>
    </row>
    <row r="281" spans="1:8">
      <c r="A281" s="22">
        <v>278</v>
      </c>
      <c r="B281" s="25">
        <v>133</v>
      </c>
      <c r="C281" s="24" t="s">
        <v>828</v>
      </c>
      <c r="D281" s="25">
        <v>257</v>
      </c>
      <c r="E281" s="24" t="s">
        <v>357</v>
      </c>
      <c r="F281" s="23" t="s">
        <v>356</v>
      </c>
      <c r="G281" s="23"/>
      <c r="H281" s="23" t="s">
        <v>1032</v>
      </c>
    </row>
    <row r="282" spans="1:8">
      <c r="A282" s="22">
        <v>279</v>
      </c>
      <c r="B282" s="25">
        <v>133</v>
      </c>
      <c r="C282" s="24" t="s">
        <v>828</v>
      </c>
      <c r="D282" s="25">
        <v>258</v>
      </c>
      <c r="E282" s="24" t="s">
        <v>355</v>
      </c>
      <c r="F282" s="23" t="s">
        <v>354</v>
      </c>
      <c r="G282" s="23"/>
      <c r="H282" s="23" t="s">
        <v>1032</v>
      </c>
    </row>
    <row r="283" spans="1:8">
      <c r="A283" s="22">
        <v>280</v>
      </c>
      <c r="B283" s="25">
        <v>133</v>
      </c>
      <c r="C283" s="24" t="s">
        <v>828</v>
      </c>
      <c r="D283" s="25">
        <v>259</v>
      </c>
      <c r="E283" s="24" t="s">
        <v>353</v>
      </c>
      <c r="F283" s="23" t="s">
        <v>349</v>
      </c>
      <c r="G283" s="23"/>
      <c r="H283" s="23" t="s">
        <v>1032</v>
      </c>
    </row>
    <row r="284" spans="1:8">
      <c r="A284" s="22">
        <v>281</v>
      </c>
      <c r="B284" s="25">
        <v>133</v>
      </c>
      <c r="C284" s="24" t="s">
        <v>828</v>
      </c>
      <c r="D284" s="25">
        <v>260</v>
      </c>
      <c r="E284" s="24" t="s">
        <v>352</v>
      </c>
      <c r="F284" s="23" t="s">
        <v>349</v>
      </c>
      <c r="G284" s="23"/>
      <c r="H284" s="23" t="s">
        <v>1032</v>
      </c>
    </row>
    <row r="285" spans="1:8">
      <c r="A285" s="22">
        <v>282</v>
      </c>
      <c r="B285" s="25">
        <v>133</v>
      </c>
      <c r="C285" s="24" t="s">
        <v>828</v>
      </c>
      <c r="D285" s="25">
        <v>261</v>
      </c>
      <c r="E285" s="24" t="s">
        <v>351</v>
      </c>
      <c r="F285" s="23" t="s">
        <v>349</v>
      </c>
      <c r="G285" s="23"/>
      <c r="H285" s="23" t="s">
        <v>1032</v>
      </c>
    </row>
    <row r="286" spans="1:8">
      <c r="A286" s="22">
        <v>283</v>
      </c>
      <c r="B286" s="25">
        <v>133</v>
      </c>
      <c r="C286" s="24" t="s">
        <v>828</v>
      </c>
      <c r="D286" s="25">
        <v>262</v>
      </c>
      <c r="E286" s="24" t="s">
        <v>350</v>
      </c>
      <c r="F286" s="23" t="s">
        <v>349</v>
      </c>
      <c r="G286" s="23"/>
      <c r="H286" s="23" t="s">
        <v>1032</v>
      </c>
    </row>
    <row r="287" spans="1:8">
      <c r="A287" s="22">
        <v>284</v>
      </c>
      <c r="B287" s="25">
        <v>133</v>
      </c>
      <c r="C287" s="24" t="s">
        <v>828</v>
      </c>
      <c r="D287" s="25">
        <v>436</v>
      </c>
      <c r="E287" s="24" t="s">
        <v>829</v>
      </c>
      <c r="F287" s="23" t="s">
        <v>1094</v>
      </c>
      <c r="G287" s="23"/>
      <c r="H287" s="23" t="s">
        <v>1032</v>
      </c>
    </row>
    <row r="288" spans="1:8">
      <c r="A288" s="22">
        <v>285</v>
      </c>
      <c r="B288" s="25">
        <v>133</v>
      </c>
      <c r="C288" s="24" t="s">
        <v>828</v>
      </c>
      <c r="D288" s="25">
        <v>452</v>
      </c>
      <c r="E288" s="24" t="s">
        <v>830</v>
      </c>
      <c r="F288" s="23" t="s">
        <v>1095</v>
      </c>
      <c r="G288" s="23"/>
      <c r="H288" s="23" t="s">
        <v>1032</v>
      </c>
    </row>
    <row r="289" spans="1:8">
      <c r="A289" s="22">
        <v>286</v>
      </c>
      <c r="B289" s="25">
        <v>133</v>
      </c>
      <c r="C289" s="24" t="s">
        <v>828</v>
      </c>
      <c r="D289" s="25">
        <v>468</v>
      </c>
      <c r="E289" s="24" t="s">
        <v>831</v>
      </c>
      <c r="F289" s="23" t="s">
        <v>1096</v>
      </c>
      <c r="G289" s="23"/>
      <c r="H289" s="23" t="s">
        <v>1032</v>
      </c>
    </row>
    <row r="290" spans="1:8">
      <c r="A290" s="22">
        <v>287</v>
      </c>
      <c r="B290" s="25">
        <v>165</v>
      </c>
      <c r="C290" s="24" t="s">
        <v>832</v>
      </c>
      <c r="D290" s="25">
        <v>263</v>
      </c>
      <c r="E290" s="24" t="s">
        <v>278</v>
      </c>
      <c r="F290" s="23" t="s">
        <v>274</v>
      </c>
      <c r="G290" s="23"/>
      <c r="H290" s="23" t="s">
        <v>1326</v>
      </c>
    </row>
    <row r="291" spans="1:8">
      <c r="A291" s="22">
        <v>288</v>
      </c>
      <c r="B291" s="25">
        <v>165</v>
      </c>
      <c r="C291" s="24" t="s">
        <v>832</v>
      </c>
      <c r="D291" s="25">
        <v>264</v>
      </c>
      <c r="E291" s="24" t="s">
        <v>277</v>
      </c>
      <c r="F291" s="26" t="s">
        <v>953</v>
      </c>
      <c r="G291" s="23"/>
      <c r="H291" s="23" t="s">
        <v>1326</v>
      </c>
    </row>
    <row r="292" spans="1:8">
      <c r="A292" s="22">
        <v>289</v>
      </c>
      <c r="B292" s="25">
        <v>165</v>
      </c>
      <c r="C292" s="24" t="s">
        <v>832</v>
      </c>
      <c r="D292" s="25">
        <v>265</v>
      </c>
      <c r="E292" s="24" t="s">
        <v>276</v>
      </c>
      <c r="F292" s="26" t="s">
        <v>954</v>
      </c>
      <c r="G292" s="23"/>
      <c r="H292" s="23" t="s">
        <v>1326</v>
      </c>
    </row>
    <row r="293" spans="1:8">
      <c r="A293" s="22">
        <v>290</v>
      </c>
      <c r="B293" s="25">
        <v>165</v>
      </c>
      <c r="C293" s="24" t="s">
        <v>832</v>
      </c>
      <c r="D293" s="25">
        <v>266</v>
      </c>
      <c r="E293" s="24" t="s">
        <v>275</v>
      </c>
      <c r="F293" s="26" t="s">
        <v>955</v>
      </c>
      <c r="G293" s="23"/>
      <c r="H293" s="23" t="s">
        <v>1326</v>
      </c>
    </row>
    <row r="294" spans="1:8">
      <c r="A294" s="22">
        <v>291</v>
      </c>
      <c r="B294" s="25">
        <v>165</v>
      </c>
      <c r="C294" s="24" t="s">
        <v>832</v>
      </c>
      <c r="D294" s="25">
        <v>437</v>
      </c>
      <c r="E294" s="24" t="s">
        <v>833</v>
      </c>
      <c r="F294" s="23" t="s">
        <v>1094</v>
      </c>
      <c r="G294" s="23"/>
      <c r="H294" s="23" t="s">
        <v>1326</v>
      </c>
    </row>
    <row r="295" spans="1:8">
      <c r="A295" s="22">
        <v>292</v>
      </c>
      <c r="B295" s="25">
        <v>165</v>
      </c>
      <c r="C295" s="24" t="s">
        <v>832</v>
      </c>
      <c r="D295" s="25">
        <v>453</v>
      </c>
      <c r="E295" s="24" t="s">
        <v>834</v>
      </c>
      <c r="F295" s="23" t="s">
        <v>1095</v>
      </c>
      <c r="G295" s="23"/>
      <c r="H295" s="23" t="s">
        <v>1326</v>
      </c>
    </row>
    <row r="296" spans="1:8">
      <c r="A296" s="22">
        <v>293</v>
      </c>
      <c r="B296" s="25">
        <v>165</v>
      </c>
      <c r="C296" s="24" t="s">
        <v>832</v>
      </c>
      <c r="D296" s="25">
        <v>469</v>
      </c>
      <c r="E296" s="24" t="s">
        <v>835</v>
      </c>
      <c r="F296" s="23" t="s">
        <v>1096</v>
      </c>
      <c r="G296" s="23"/>
      <c r="H296" s="23" t="s">
        <v>1326</v>
      </c>
    </row>
    <row r="297" spans="1:8">
      <c r="A297" s="22">
        <v>294</v>
      </c>
      <c r="B297" s="25">
        <v>166</v>
      </c>
      <c r="C297" s="24" t="s">
        <v>836</v>
      </c>
      <c r="D297" s="25">
        <v>267</v>
      </c>
      <c r="E297" s="24" t="s">
        <v>837</v>
      </c>
      <c r="F297" s="23" t="s">
        <v>272</v>
      </c>
      <c r="G297" s="23"/>
      <c r="H297" s="23" t="s">
        <v>1326</v>
      </c>
    </row>
    <row r="298" spans="1:8">
      <c r="A298" s="22">
        <v>295</v>
      </c>
      <c r="B298" s="25">
        <v>166</v>
      </c>
      <c r="C298" s="24" t="s">
        <v>836</v>
      </c>
      <c r="D298" s="25">
        <v>268</v>
      </c>
      <c r="E298" s="24" t="s">
        <v>273</v>
      </c>
      <c r="F298" s="23" t="s">
        <v>272</v>
      </c>
      <c r="G298" s="23"/>
      <c r="H298" s="23" t="s">
        <v>1326</v>
      </c>
    </row>
    <row r="299" spans="1:8">
      <c r="A299" s="22">
        <v>296</v>
      </c>
      <c r="B299" s="25">
        <v>166</v>
      </c>
      <c r="C299" s="24" t="s">
        <v>836</v>
      </c>
      <c r="D299" s="25">
        <v>269</v>
      </c>
      <c r="E299" s="24" t="s">
        <v>271</v>
      </c>
      <c r="F299" s="23" t="s">
        <v>270</v>
      </c>
      <c r="G299" s="23"/>
      <c r="H299" s="23" t="s">
        <v>1326</v>
      </c>
    </row>
    <row r="300" spans="1:8">
      <c r="A300" s="22">
        <v>297</v>
      </c>
      <c r="B300" s="25">
        <v>166</v>
      </c>
      <c r="C300" s="24" t="s">
        <v>836</v>
      </c>
      <c r="D300" s="25">
        <v>270</v>
      </c>
      <c r="E300" s="24" t="s">
        <v>269</v>
      </c>
      <c r="F300" s="23" t="s">
        <v>268</v>
      </c>
      <c r="G300" s="23"/>
      <c r="H300" s="23" t="s">
        <v>1326</v>
      </c>
    </row>
    <row r="301" spans="1:8">
      <c r="A301" s="22">
        <v>298</v>
      </c>
      <c r="B301" s="25">
        <v>166</v>
      </c>
      <c r="C301" s="24" t="s">
        <v>836</v>
      </c>
      <c r="D301" s="25">
        <v>271</v>
      </c>
      <c r="E301" s="24" t="s">
        <v>267</v>
      </c>
      <c r="F301" s="23" t="s">
        <v>266</v>
      </c>
      <c r="G301" s="23"/>
      <c r="H301" s="23" t="s">
        <v>1326</v>
      </c>
    </row>
    <row r="302" spans="1:8">
      <c r="A302" s="22">
        <v>299</v>
      </c>
      <c r="B302" s="25">
        <v>166</v>
      </c>
      <c r="C302" s="24" t="s">
        <v>836</v>
      </c>
      <c r="D302" s="25">
        <v>272</v>
      </c>
      <c r="E302" s="24" t="s">
        <v>265</v>
      </c>
      <c r="F302" s="23" t="s">
        <v>264</v>
      </c>
      <c r="G302" s="23"/>
      <c r="H302" s="23" t="s">
        <v>1326</v>
      </c>
    </row>
    <row r="303" spans="1:8">
      <c r="A303" s="22">
        <v>300</v>
      </c>
      <c r="B303" s="25">
        <v>166</v>
      </c>
      <c r="C303" s="24" t="s">
        <v>836</v>
      </c>
      <c r="D303" s="25">
        <v>273</v>
      </c>
      <c r="E303" s="24" t="s">
        <v>263</v>
      </c>
      <c r="F303" s="23" t="s">
        <v>262</v>
      </c>
      <c r="G303" s="23"/>
      <c r="H303" s="23" t="s">
        <v>1326</v>
      </c>
    </row>
    <row r="304" spans="1:8">
      <c r="A304" s="22">
        <v>301</v>
      </c>
      <c r="B304" s="25">
        <v>166</v>
      </c>
      <c r="C304" s="24" t="s">
        <v>836</v>
      </c>
      <c r="D304" s="25">
        <v>274</v>
      </c>
      <c r="E304" s="24" t="s">
        <v>260</v>
      </c>
      <c r="F304" s="23" t="s">
        <v>1107</v>
      </c>
      <c r="G304" s="23"/>
      <c r="H304" s="23" t="s">
        <v>1326</v>
      </c>
    </row>
    <row r="305" spans="1:8">
      <c r="A305" s="22">
        <v>302</v>
      </c>
      <c r="B305" s="25">
        <v>166</v>
      </c>
      <c r="C305" s="24" t="s">
        <v>836</v>
      </c>
      <c r="D305" s="25">
        <v>275</v>
      </c>
      <c r="E305" s="24" t="s">
        <v>261</v>
      </c>
      <c r="F305" s="26" t="s">
        <v>956</v>
      </c>
      <c r="G305" s="23"/>
      <c r="H305" s="23" t="s">
        <v>1326</v>
      </c>
    </row>
    <row r="306" spans="1:8">
      <c r="A306" s="22">
        <v>303</v>
      </c>
      <c r="B306" s="25">
        <v>166</v>
      </c>
      <c r="C306" s="24" t="s">
        <v>836</v>
      </c>
      <c r="D306" s="25">
        <v>276</v>
      </c>
      <c r="E306" s="24" t="s">
        <v>259</v>
      </c>
      <c r="F306" s="23" t="s">
        <v>258</v>
      </c>
      <c r="G306" s="23"/>
      <c r="H306" s="23" t="s">
        <v>1326</v>
      </c>
    </row>
    <row r="307" spans="1:8">
      <c r="A307" s="22">
        <v>304</v>
      </c>
      <c r="B307" s="25">
        <v>166</v>
      </c>
      <c r="C307" s="24" t="s">
        <v>836</v>
      </c>
      <c r="D307" s="25">
        <v>277</v>
      </c>
      <c r="E307" s="24" t="s">
        <v>257</v>
      </c>
      <c r="F307" s="23" t="s">
        <v>256</v>
      </c>
      <c r="G307" s="23"/>
      <c r="H307" s="23" t="s">
        <v>1326</v>
      </c>
    </row>
    <row r="308" spans="1:8">
      <c r="A308" s="22">
        <v>305</v>
      </c>
      <c r="B308" s="25">
        <v>166</v>
      </c>
      <c r="C308" s="24" t="s">
        <v>836</v>
      </c>
      <c r="D308" s="25">
        <v>278</v>
      </c>
      <c r="E308" s="24" t="s">
        <v>255</v>
      </c>
      <c r="F308" s="23" t="s">
        <v>254</v>
      </c>
      <c r="G308" s="23"/>
      <c r="H308" s="23" t="s">
        <v>1326</v>
      </c>
    </row>
    <row r="309" spans="1:8">
      <c r="A309" s="22">
        <v>306</v>
      </c>
      <c r="B309" s="25">
        <v>166</v>
      </c>
      <c r="C309" s="24" t="s">
        <v>836</v>
      </c>
      <c r="D309" s="25">
        <v>279</v>
      </c>
      <c r="E309" s="24" t="s">
        <v>253</v>
      </c>
      <c r="F309" s="23" t="s">
        <v>252</v>
      </c>
      <c r="G309" s="23"/>
      <c r="H309" s="23" t="s">
        <v>1326</v>
      </c>
    </row>
    <row r="310" spans="1:8">
      <c r="A310" s="22">
        <v>307</v>
      </c>
      <c r="B310" s="25">
        <v>166</v>
      </c>
      <c r="C310" s="24" t="s">
        <v>836</v>
      </c>
      <c r="D310" s="25">
        <v>280</v>
      </c>
      <c r="E310" s="24" t="s">
        <v>251</v>
      </c>
      <c r="F310" s="23" t="s">
        <v>250</v>
      </c>
      <c r="G310" s="23"/>
      <c r="H310" s="23" t="s">
        <v>1326</v>
      </c>
    </row>
    <row r="311" spans="1:8">
      <c r="A311" s="22">
        <v>308</v>
      </c>
      <c r="B311" s="25">
        <v>166</v>
      </c>
      <c r="C311" s="24" t="s">
        <v>836</v>
      </c>
      <c r="D311" s="25">
        <v>438</v>
      </c>
      <c r="E311" s="24" t="s">
        <v>838</v>
      </c>
      <c r="F311" s="23" t="s">
        <v>1094</v>
      </c>
      <c r="G311" s="23"/>
      <c r="H311" s="23" t="s">
        <v>1326</v>
      </c>
    </row>
    <row r="312" spans="1:8">
      <c r="A312" s="22">
        <v>309</v>
      </c>
      <c r="B312" s="25">
        <v>166</v>
      </c>
      <c r="C312" s="24" t="s">
        <v>836</v>
      </c>
      <c r="D312" s="25">
        <v>454</v>
      </c>
      <c r="E312" s="24" t="s">
        <v>839</v>
      </c>
      <c r="F312" s="23" t="s">
        <v>1095</v>
      </c>
      <c r="G312" s="23"/>
      <c r="H312" s="23" t="s">
        <v>1326</v>
      </c>
    </row>
    <row r="313" spans="1:8">
      <c r="A313" s="22">
        <v>310</v>
      </c>
      <c r="B313" s="25">
        <v>166</v>
      </c>
      <c r="C313" s="24" t="s">
        <v>836</v>
      </c>
      <c r="D313" s="25">
        <v>470</v>
      </c>
      <c r="E313" s="24" t="s">
        <v>840</v>
      </c>
      <c r="F313" s="23" t="s">
        <v>1096</v>
      </c>
      <c r="G313" s="23"/>
      <c r="H313" s="23" t="s">
        <v>1326</v>
      </c>
    </row>
    <row r="314" spans="1:8">
      <c r="A314" s="22">
        <v>311</v>
      </c>
      <c r="B314" s="25">
        <v>161</v>
      </c>
      <c r="C314" s="24" t="s">
        <v>841</v>
      </c>
      <c r="D314" s="25">
        <v>281</v>
      </c>
      <c r="E314" s="24" t="s">
        <v>348</v>
      </c>
      <c r="F314" s="23" t="s">
        <v>347</v>
      </c>
      <c r="G314" s="23" t="s">
        <v>1036</v>
      </c>
      <c r="H314" s="23" t="s">
        <v>1078</v>
      </c>
    </row>
    <row r="315" spans="1:8">
      <c r="A315" s="22">
        <v>312</v>
      </c>
      <c r="B315" s="25">
        <v>161</v>
      </c>
      <c r="C315" s="24" t="s">
        <v>841</v>
      </c>
      <c r="D315" s="25">
        <v>282</v>
      </c>
      <c r="E315" s="24" t="s">
        <v>346</v>
      </c>
      <c r="F315" s="23" t="s">
        <v>345</v>
      </c>
      <c r="G315" s="23" t="s">
        <v>1036</v>
      </c>
      <c r="H315" s="23" t="s">
        <v>1078</v>
      </c>
    </row>
    <row r="316" spans="1:8">
      <c r="A316" s="22">
        <v>313</v>
      </c>
      <c r="B316" s="25">
        <v>161</v>
      </c>
      <c r="C316" s="24" t="s">
        <v>841</v>
      </c>
      <c r="D316" s="25">
        <v>283</v>
      </c>
      <c r="E316" s="24" t="s">
        <v>842</v>
      </c>
      <c r="F316" s="23" t="s">
        <v>300</v>
      </c>
      <c r="G316" s="23" t="s">
        <v>1036</v>
      </c>
      <c r="H316" s="23" t="s">
        <v>1078</v>
      </c>
    </row>
    <row r="317" spans="1:8">
      <c r="A317" s="22">
        <v>314</v>
      </c>
      <c r="B317" s="25">
        <v>161</v>
      </c>
      <c r="C317" s="24" t="s">
        <v>841</v>
      </c>
      <c r="D317" s="25">
        <v>284</v>
      </c>
      <c r="E317" s="24" t="s">
        <v>344</v>
      </c>
      <c r="F317" s="23" t="s">
        <v>300</v>
      </c>
      <c r="G317" s="23" t="s">
        <v>1036</v>
      </c>
      <c r="H317" s="23" t="s">
        <v>1078</v>
      </c>
    </row>
    <row r="318" spans="1:8">
      <c r="A318" s="22">
        <v>315</v>
      </c>
      <c r="B318" s="25">
        <v>161</v>
      </c>
      <c r="C318" s="24" t="s">
        <v>841</v>
      </c>
      <c r="D318" s="25">
        <v>285</v>
      </c>
      <c r="E318" s="24" t="s">
        <v>343</v>
      </c>
      <c r="F318" s="23" t="s">
        <v>328</v>
      </c>
      <c r="G318" s="23" t="s">
        <v>1036</v>
      </c>
      <c r="H318" s="23" t="s">
        <v>1078</v>
      </c>
    </row>
    <row r="319" spans="1:8">
      <c r="A319" s="22">
        <v>316</v>
      </c>
      <c r="B319" s="25">
        <v>161</v>
      </c>
      <c r="C319" s="24" t="s">
        <v>841</v>
      </c>
      <c r="D319" s="25">
        <v>286</v>
      </c>
      <c r="E319" s="24" t="s">
        <v>342</v>
      </c>
      <c r="F319" s="23" t="s">
        <v>281</v>
      </c>
      <c r="G319" s="23" t="s">
        <v>1036</v>
      </c>
      <c r="H319" s="23" t="s">
        <v>1078</v>
      </c>
    </row>
    <row r="320" spans="1:8">
      <c r="A320" s="22">
        <v>317</v>
      </c>
      <c r="B320" s="25">
        <v>161</v>
      </c>
      <c r="C320" s="24" t="s">
        <v>841</v>
      </c>
      <c r="D320" s="25">
        <v>287</v>
      </c>
      <c r="E320" s="24" t="s">
        <v>341</v>
      </c>
      <c r="F320" s="26" t="s">
        <v>957</v>
      </c>
      <c r="G320" s="23" t="s">
        <v>1036</v>
      </c>
      <c r="H320" s="23" t="s">
        <v>1078</v>
      </c>
    </row>
    <row r="321" spans="1:8">
      <c r="A321" s="22">
        <v>318</v>
      </c>
      <c r="B321" s="25">
        <v>161</v>
      </c>
      <c r="C321" s="24" t="s">
        <v>841</v>
      </c>
      <c r="D321" s="25">
        <v>288</v>
      </c>
      <c r="E321" s="24" t="s">
        <v>340</v>
      </c>
      <c r="F321" s="26" t="s">
        <v>958</v>
      </c>
      <c r="G321" s="23" t="s">
        <v>1036</v>
      </c>
      <c r="H321" s="23" t="s">
        <v>1078</v>
      </c>
    </row>
    <row r="322" spans="1:8">
      <c r="A322" s="22">
        <v>319</v>
      </c>
      <c r="B322" s="25">
        <v>161</v>
      </c>
      <c r="C322" s="24" t="s">
        <v>841</v>
      </c>
      <c r="D322" s="25">
        <v>289</v>
      </c>
      <c r="E322" s="24" t="s">
        <v>339</v>
      </c>
      <c r="F322" s="26" t="s">
        <v>959</v>
      </c>
      <c r="G322" s="23" t="s">
        <v>1036</v>
      </c>
      <c r="H322" s="23" t="s">
        <v>1078</v>
      </c>
    </row>
    <row r="323" spans="1:8">
      <c r="A323" s="22">
        <v>320</v>
      </c>
      <c r="B323" s="25">
        <v>161</v>
      </c>
      <c r="C323" s="24" t="s">
        <v>841</v>
      </c>
      <c r="D323" s="25">
        <v>290</v>
      </c>
      <c r="E323" s="24" t="s">
        <v>338</v>
      </c>
      <c r="F323" s="23" t="s">
        <v>337</v>
      </c>
      <c r="G323" s="23" t="s">
        <v>1036</v>
      </c>
      <c r="H323" s="23" t="s">
        <v>1078</v>
      </c>
    </row>
    <row r="324" spans="1:8">
      <c r="A324" s="22">
        <v>321</v>
      </c>
      <c r="B324" s="25">
        <v>161</v>
      </c>
      <c r="C324" s="24" t="s">
        <v>841</v>
      </c>
      <c r="D324" s="25">
        <v>291</v>
      </c>
      <c r="E324" s="24" t="s">
        <v>336</v>
      </c>
      <c r="F324" s="23" t="s">
        <v>335</v>
      </c>
      <c r="G324" s="23" t="s">
        <v>1036</v>
      </c>
      <c r="H324" s="23" t="s">
        <v>1078</v>
      </c>
    </row>
    <row r="325" spans="1:8">
      <c r="A325" s="22">
        <v>322</v>
      </c>
      <c r="B325" s="25">
        <v>161</v>
      </c>
      <c r="C325" s="24" t="s">
        <v>841</v>
      </c>
      <c r="D325" s="25">
        <v>292</v>
      </c>
      <c r="E325" s="24" t="s">
        <v>334</v>
      </c>
      <c r="F325" s="23" t="s">
        <v>333</v>
      </c>
      <c r="G325" s="23" t="s">
        <v>1036</v>
      </c>
      <c r="H325" s="23" t="s">
        <v>1078</v>
      </c>
    </row>
    <row r="326" spans="1:8">
      <c r="A326" s="22">
        <v>323</v>
      </c>
      <c r="B326" s="25">
        <v>161</v>
      </c>
      <c r="C326" s="24" t="s">
        <v>841</v>
      </c>
      <c r="D326" s="25">
        <v>293</v>
      </c>
      <c r="E326" s="24" t="s">
        <v>332</v>
      </c>
      <c r="F326" s="23" t="s">
        <v>331</v>
      </c>
      <c r="G326" s="23" t="s">
        <v>1036</v>
      </c>
      <c r="H326" s="23" t="s">
        <v>1078</v>
      </c>
    </row>
    <row r="327" spans="1:8">
      <c r="A327" s="22">
        <v>324</v>
      </c>
      <c r="B327" s="25">
        <v>161</v>
      </c>
      <c r="C327" s="24" t="s">
        <v>841</v>
      </c>
      <c r="D327" s="25">
        <v>294</v>
      </c>
      <c r="E327" s="24" t="s">
        <v>330</v>
      </c>
      <c r="F327" s="23" t="s">
        <v>281</v>
      </c>
      <c r="G327" s="23" t="s">
        <v>1036</v>
      </c>
      <c r="H327" s="23" t="s">
        <v>1078</v>
      </c>
    </row>
    <row r="328" spans="1:8">
      <c r="A328" s="22">
        <v>325</v>
      </c>
      <c r="B328" s="25">
        <v>161</v>
      </c>
      <c r="C328" s="24" t="s">
        <v>841</v>
      </c>
      <c r="D328" s="25">
        <v>295</v>
      </c>
      <c r="E328" s="24" t="s">
        <v>329</v>
      </c>
      <c r="F328" s="23" t="s">
        <v>328</v>
      </c>
      <c r="G328" s="23" t="s">
        <v>1036</v>
      </c>
      <c r="H328" s="23" t="s">
        <v>1078</v>
      </c>
    </row>
    <row r="329" spans="1:8">
      <c r="A329" s="22">
        <v>326</v>
      </c>
      <c r="B329" s="25">
        <v>161</v>
      </c>
      <c r="C329" s="24" t="s">
        <v>841</v>
      </c>
      <c r="D329" s="25">
        <v>296</v>
      </c>
      <c r="E329" s="24" t="s">
        <v>327</v>
      </c>
      <c r="F329" s="23" t="s">
        <v>326</v>
      </c>
      <c r="G329" s="23" t="s">
        <v>1036</v>
      </c>
      <c r="H329" s="23" t="s">
        <v>1078</v>
      </c>
    </row>
    <row r="330" spans="1:8">
      <c r="A330" s="22">
        <v>327</v>
      </c>
      <c r="B330" s="25">
        <v>161</v>
      </c>
      <c r="C330" s="24" t="s">
        <v>841</v>
      </c>
      <c r="D330" s="25">
        <v>297</v>
      </c>
      <c r="E330" s="24" t="s">
        <v>325</v>
      </c>
      <c r="F330" s="23" t="s">
        <v>324</v>
      </c>
      <c r="G330" s="23" t="s">
        <v>1036</v>
      </c>
      <c r="H330" s="23" t="s">
        <v>1078</v>
      </c>
    </row>
    <row r="331" spans="1:8">
      <c r="A331" s="22">
        <v>328</v>
      </c>
      <c r="B331" s="25">
        <v>161</v>
      </c>
      <c r="C331" s="24" t="s">
        <v>841</v>
      </c>
      <c r="D331" s="25">
        <v>298</v>
      </c>
      <c r="E331" s="24" t="s">
        <v>323</v>
      </c>
      <c r="F331" s="23" t="s">
        <v>322</v>
      </c>
      <c r="G331" s="23"/>
      <c r="H331" s="23" t="s">
        <v>1078</v>
      </c>
    </row>
    <row r="332" spans="1:8">
      <c r="A332" s="22">
        <v>329</v>
      </c>
      <c r="B332" s="25">
        <v>161</v>
      </c>
      <c r="C332" s="24" t="s">
        <v>841</v>
      </c>
      <c r="D332" s="25">
        <v>299</v>
      </c>
      <c r="E332" s="24" t="s">
        <v>321</v>
      </c>
      <c r="F332" s="23" t="s">
        <v>300</v>
      </c>
      <c r="G332" s="23"/>
      <c r="H332" s="23" t="s">
        <v>1078</v>
      </c>
    </row>
    <row r="333" spans="1:8">
      <c r="A333" s="22">
        <v>330</v>
      </c>
      <c r="B333" s="25">
        <v>161</v>
      </c>
      <c r="C333" s="24" t="s">
        <v>841</v>
      </c>
      <c r="D333" s="25">
        <v>300</v>
      </c>
      <c r="E333" s="24" t="s">
        <v>320</v>
      </c>
      <c r="F333" s="23" t="s">
        <v>300</v>
      </c>
      <c r="G333" s="23"/>
      <c r="H333" s="23" t="s">
        <v>1078</v>
      </c>
    </row>
    <row r="334" spans="1:8">
      <c r="A334" s="22">
        <v>331</v>
      </c>
      <c r="B334" s="25">
        <v>161</v>
      </c>
      <c r="C334" s="24" t="s">
        <v>841</v>
      </c>
      <c r="D334" s="25">
        <v>301</v>
      </c>
      <c r="E334" s="24" t="s">
        <v>319</v>
      </c>
      <c r="F334" s="23" t="s">
        <v>1108</v>
      </c>
      <c r="G334" s="23"/>
      <c r="H334" s="23" t="s">
        <v>1078</v>
      </c>
    </row>
    <row r="335" spans="1:8">
      <c r="A335" s="22">
        <v>332</v>
      </c>
      <c r="B335" s="25">
        <v>161</v>
      </c>
      <c r="C335" s="24" t="s">
        <v>841</v>
      </c>
      <c r="D335" s="25">
        <v>302</v>
      </c>
      <c r="E335" s="24" t="s">
        <v>318</v>
      </c>
      <c r="F335" s="23" t="s">
        <v>281</v>
      </c>
      <c r="G335" s="23"/>
      <c r="H335" s="23" t="s">
        <v>1078</v>
      </c>
    </row>
    <row r="336" spans="1:8">
      <c r="A336" s="22">
        <v>333</v>
      </c>
      <c r="B336" s="25">
        <v>161</v>
      </c>
      <c r="C336" s="24" t="s">
        <v>841</v>
      </c>
      <c r="D336" s="25">
        <v>303</v>
      </c>
      <c r="E336" s="24" t="s">
        <v>317</v>
      </c>
      <c r="F336" s="23" t="s">
        <v>316</v>
      </c>
      <c r="G336" s="23"/>
      <c r="H336" s="23" t="s">
        <v>1078</v>
      </c>
    </row>
    <row r="337" spans="1:8">
      <c r="A337" s="22">
        <v>334</v>
      </c>
      <c r="B337" s="25">
        <v>161</v>
      </c>
      <c r="C337" s="24" t="s">
        <v>841</v>
      </c>
      <c r="D337" s="25">
        <v>304</v>
      </c>
      <c r="E337" s="24" t="s">
        <v>315</v>
      </c>
      <c r="F337" s="23" t="s">
        <v>314</v>
      </c>
      <c r="G337" s="23"/>
      <c r="H337" s="23" t="s">
        <v>1078</v>
      </c>
    </row>
    <row r="338" spans="1:8">
      <c r="A338" s="22">
        <v>335</v>
      </c>
      <c r="B338" s="25">
        <v>161</v>
      </c>
      <c r="C338" s="24" t="s">
        <v>841</v>
      </c>
      <c r="D338" s="25">
        <v>305</v>
      </c>
      <c r="E338" s="24" t="s">
        <v>313</v>
      </c>
      <c r="F338" s="23" t="s">
        <v>312</v>
      </c>
      <c r="G338" s="23"/>
      <c r="H338" s="23" t="s">
        <v>1078</v>
      </c>
    </row>
    <row r="339" spans="1:8">
      <c r="A339" s="22">
        <v>336</v>
      </c>
      <c r="B339" s="25">
        <v>161</v>
      </c>
      <c r="C339" s="24" t="s">
        <v>841</v>
      </c>
      <c r="D339" s="25">
        <v>306</v>
      </c>
      <c r="E339" s="24" t="s">
        <v>311</v>
      </c>
      <c r="F339" s="23" t="s">
        <v>310</v>
      </c>
      <c r="G339" s="23" t="s">
        <v>1098</v>
      </c>
      <c r="H339" s="23" t="s">
        <v>1078</v>
      </c>
    </row>
    <row r="340" spans="1:8">
      <c r="A340" s="22">
        <v>337</v>
      </c>
      <c r="B340" s="25">
        <v>161</v>
      </c>
      <c r="C340" s="24" t="s">
        <v>841</v>
      </c>
      <c r="D340" s="25">
        <v>307</v>
      </c>
      <c r="E340" s="24" t="s">
        <v>309</v>
      </c>
      <c r="F340" s="23" t="s">
        <v>308</v>
      </c>
      <c r="G340" s="23"/>
      <c r="H340" s="23" t="s">
        <v>1078</v>
      </c>
    </row>
    <row r="341" spans="1:8">
      <c r="A341" s="22">
        <v>338</v>
      </c>
      <c r="B341" s="25">
        <v>161</v>
      </c>
      <c r="C341" s="24" t="s">
        <v>841</v>
      </c>
      <c r="D341" s="25">
        <v>308</v>
      </c>
      <c r="E341" s="24" t="s">
        <v>307</v>
      </c>
      <c r="F341" s="23" t="s">
        <v>306</v>
      </c>
      <c r="G341" s="23" t="s">
        <v>1036</v>
      </c>
      <c r="H341" s="23" t="s">
        <v>1078</v>
      </c>
    </row>
    <row r="342" spans="1:8">
      <c r="A342" s="22">
        <v>339</v>
      </c>
      <c r="B342" s="25">
        <v>161</v>
      </c>
      <c r="C342" s="24" t="s">
        <v>841</v>
      </c>
      <c r="D342" s="25">
        <v>309</v>
      </c>
      <c r="E342" s="24" t="s">
        <v>843</v>
      </c>
      <c r="F342" s="26" t="s">
        <v>960</v>
      </c>
      <c r="G342" s="23" t="s">
        <v>1036</v>
      </c>
      <c r="H342" s="23" t="s">
        <v>1078</v>
      </c>
    </row>
    <row r="343" spans="1:8">
      <c r="A343" s="22">
        <v>340</v>
      </c>
      <c r="B343" s="25">
        <v>161</v>
      </c>
      <c r="C343" s="24" t="s">
        <v>841</v>
      </c>
      <c r="D343" s="25">
        <v>310</v>
      </c>
      <c r="E343" s="24" t="s">
        <v>305</v>
      </c>
      <c r="F343" s="26" t="s">
        <v>960</v>
      </c>
      <c r="G343" s="23" t="s">
        <v>1036</v>
      </c>
      <c r="H343" s="23" t="s">
        <v>1078</v>
      </c>
    </row>
    <row r="344" spans="1:8">
      <c r="A344" s="22">
        <v>341</v>
      </c>
      <c r="B344" s="25">
        <v>161</v>
      </c>
      <c r="C344" s="24" t="s">
        <v>841</v>
      </c>
      <c r="D344" s="25">
        <v>311</v>
      </c>
      <c r="E344" s="24" t="s">
        <v>304</v>
      </c>
      <c r="F344" s="26" t="s">
        <v>961</v>
      </c>
      <c r="G344" s="23" t="s">
        <v>1036</v>
      </c>
      <c r="H344" s="23" t="s">
        <v>1078</v>
      </c>
    </row>
    <row r="345" spans="1:8">
      <c r="A345" s="22">
        <v>342</v>
      </c>
      <c r="B345" s="25">
        <v>161</v>
      </c>
      <c r="C345" s="24" t="s">
        <v>841</v>
      </c>
      <c r="D345" s="25">
        <v>312</v>
      </c>
      <c r="E345" s="24" t="s">
        <v>303</v>
      </c>
      <c r="F345" s="26" t="s">
        <v>962</v>
      </c>
      <c r="G345" s="23" t="s">
        <v>1036</v>
      </c>
      <c r="H345" s="23" t="s">
        <v>1078</v>
      </c>
    </row>
    <row r="346" spans="1:8">
      <c r="A346" s="22">
        <v>343</v>
      </c>
      <c r="B346" s="25">
        <v>161</v>
      </c>
      <c r="C346" s="24" t="s">
        <v>841</v>
      </c>
      <c r="D346" s="25">
        <v>313</v>
      </c>
      <c r="E346" s="24" t="s">
        <v>302</v>
      </c>
      <c r="F346" s="26" t="s">
        <v>963</v>
      </c>
      <c r="G346" s="23" t="s">
        <v>1036</v>
      </c>
      <c r="H346" s="23" t="s">
        <v>1078</v>
      </c>
    </row>
    <row r="347" spans="1:8">
      <c r="A347" s="22">
        <v>344</v>
      </c>
      <c r="B347" s="25">
        <v>161</v>
      </c>
      <c r="C347" s="24" t="s">
        <v>841</v>
      </c>
      <c r="D347" s="25">
        <v>314</v>
      </c>
      <c r="E347" s="24" t="s">
        <v>844</v>
      </c>
      <c r="F347" s="23" t="s">
        <v>300</v>
      </c>
      <c r="G347" s="23" t="s">
        <v>1036</v>
      </c>
      <c r="H347" s="23" t="s">
        <v>1078</v>
      </c>
    </row>
    <row r="348" spans="1:8">
      <c r="A348" s="22">
        <v>345</v>
      </c>
      <c r="B348" s="25">
        <v>161</v>
      </c>
      <c r="C348" s="24" t="s">
        <v>841</v>
      </c>
      <c r="D348" s="25">
        <v>315</v>
      </c>
      <c r="E348" s="24" t="s">
        <v>301</v>
      </c>
      <c r="F348" s="23" t="s">
        <v>300</v>
      </c>
      <c r="G348" s="23" t="s">
        <v>1036</v>
      </c>
      <c r="H348" s="23" t="s">
        <v>1078</v>
      </c>
    </row>
    <row r="349" spans="1:8">
      <c r="A349" s="22">
        <v>346</v>
      </c>
      <c r="B349" s="25">
        <v>161</v>
      </c>
      <c r="C349" s="24" t="s">
        <v>841</v>
      </c>
      <c r="D349" s="25">
        <v>316</v>
      </c>
      <c r="E349" s="24" t="s">
        <v>299</v>
      </c>
      <c r="F349" s="23" t="s">
        <v>298</v>
      </c>
      <c r="G349" s="23" t="s">
        <v>1036</v>
      </c>
      <c r="H349" s="23" t="s">
        <v>1078</v>
      </c>
    </row>
    <row r="350" spans="1:8">
      <c r="A350" s="22">
        <v>347</v>
      </c>
      <c r="B350" s="25">
        <v>161</v>
      </c>
      <c r="C350" s="24" t="s">
        <v>841</v>
      </c>
      <c r="D350" s="25">
        <v>317</v>
      </c>
      <c r="E350" s="24" t="s">
        <v>297</v>
      </c>
      <c r="F350" s="23" t="s">
        <v>296</v>
      </c>
      <c r="G350" s="23" t="s">
        <v>1036</v>
      </c>
      <c r="H350" s="23" t="s">
        <v>1078</v>
      </c>
    </row>
    <row r="351" spans="1:8">
      <c r="A351" s="22">
        <v>348</v>
      </c>
      <c r="B351" s="25">
        <v>161</v>
      </c>
      <c r="C351" s="24" t="s">
        <v>841</v>
      </c>
      <c r="D351" s="25">
        <v>318</v>
      </c>
      <c r="E351" s="24" t="s">
        <v>295</v>
      </c>
      <c r="F351" s="26" t="s">
        <v>964</v>
      </c>
      <c r="G351" s="23" t="s">
        <v>1036</v>
      </c>
      <c r="H351" s="23" t="s">
        <v>1078</v>
      </c>
    </row>
    <row r="352" spans="1:8">
      <c r="A352" s="22">
        <v>349</v>
      </c>
      <c r="B352" s="25">
        <v>161</v>
      </c>
      <c r="C352" s="24" t="s">
        <v>841</v>
      </c>
      <c r="D352" s="25">
        <v>319</v>
      </c>
      <c r="E352" s="24" t="s">
        <v>294</v>
      </c>
      <c r="F352" s="23" t="s">
        <v>293</v>
      </c>
      <c r="G352" s="23" t="s">
        <v>1036</v>
      </c>
      <c r="H352" s="23" t="s">
        <v>1078</v>
      </c>
    </row>
    <row r="353" spans="1:8">
      <c r="A353" s="22">
        <v>350</v>
      </c>
      <c r="B353" s="25">
        <v>161</v>
      </c>
      <c r="C353" s="24" t="s">
        <v>841</v>
      </c>
      <c r="D353" s="25">
        <v>320</v>
      </c>
      <c r="E353" s="24" t="s">
        <v>292</v>
      </c>
      <c r="F353" s="23" t="s">
        <v>291</v>
      </c>
      <c r="G353" s="23" t="s">
        <v>1036</v>
      </c>
      <c r="H353" s="23" t="s">
        <v>1078</v>
      </c>
    </row>
    <row r="354" spans="1:8">
      <c r="A354" s="22">
        <v>351</v>
      </c>
      <c r="B354" s="25">
        <v>161</v>
      </c>
      <c r="C354" s="24" t="s">
        <v>841</v>
      </c>
      <c r="D354" s="25">
        <v>439</v>
      </c>
      <c r="E354" s="24" t="s">
        <v>845</v>
      </c>
      <c r="F354" s="23" t="s">
        <v>1094</v>
      </c>
      <c r="G354" s="23"/>
      <c r="H354" s="23" t="s">
        <v>1078</v>
      </c>
    </row>
    <row r="355" spans="1:8">
      <c r="A355" s="22">
        <v>352</v>
      </c>
      <c r="B355" s="25">
        <v>161</v>
      </c>
      <c r="C355" s="24" t="s">
        <v>841</v>
      </c>
      <c r="D355" s="25">
        <v>455</v>
      </c>
      <c r="E355" s="24" t="s">
        <v>846</v>
      </c>
      <c r="F355" s="23" t="s">
        <v>1095</v>
      </c>
      <c r="G355" s="23"/>
      <c r="H355" s="23" t="s">
        <v>1078</v>
      </c>
    </row>
    <row r="356" spans="1:8">
      <c r="A356" s="22">
        <v>353</v>
      </c>
      <c r="B356" s="25">
        <v>161</v>
      </c>
      <c r="C356" s="24" t="s">
        <v>841</v>
      </c>
      <c r="D356" s="25">
        <v>471</v>
      </c>
      <c r="E356" s="24" t="s">
        <v>847</v>
      </c>
      <c r="F356" s="23" t="s">
        <v>1096</v>
      </c>
      <c r="G356" s="23"/>
      <c r="H356" s="23" t="s">
        <v>1078</v>
      </c>
    </row>
    <row r="357" spans="1:8">
      <c r="A357" s="22">
        <v>354</v>
      </c>
      <c r="B357" s="25">
        <v>164</v>
      </c>
      <c r="C357" s="24" t="s">
        <v>848</v>
      </c>
      <c r="D357" s="25">
        <v>321</v>
      </c>
      <c r="E357" s="24" t="s">
        <v>41</v>
      </c>
      <c r="F357" s="23" t="s">
        <v>286</v>
      </c>
      <c r="G357" s="23" t="s">
        <v>1036</v>
      </c>
      <c r="H357" s="23" t="s">
        <v>1078</v>
      </c>
    </row>
    <row r="358" spans="1:8">
      <c r="A358" s="22">
        <v>355</v>
      </c>
      <c r="B358" s="25">
        <v>164</v>
      </c>
      <c r="C358" s="24" t="s">
        <v>848</v>
      </c>
      <c r="D358" s="25">
        <v>322</v>
      </c>
      <c r="E358" s="24" t="s">
        <v>290</v>
      </c>
      <c r="F358" s="23" t="s">
        <v>281</v>
      </c>
      <c r="G358" s="23" t="s">
        <v>1036</v>
      </c>
      <c r="H358" s="23" t="s">
        <v>1078</v>
      </c>
    </row>
    <row r="359" spans="1:8">
      <c r="A359" s="22">
        <v>356</v>
      </c>
      <c r="B359" s="25">
        <v>164</v>
      </c>
      <c r="C359" s="24" t="s">
        <v>848</v>
      </c>
      <c r="D359" s="25">
        <v>323</v>
      </c>
      <c r="E359" s="24" t="s">
        <v>289</v>
      </c>
      <c r="F359" s="23" t="s">
        <v>286</v>
      </c>
      <c r="G359" s="23" t="s">
        <v>1036</v>
      </c>
      <c r="H359" s="23" t="s">
        <v>1078</v>
      </c>
    </row>
    <row r="360" spans="1:8">
      <c r="A360" s="22">
        <v>357</v>
      </c>
      <c r="B360" s="25">
        <v>164</v>
      </c>
      <c r="C360" s="24" t="s">
        <v>848</v>
      </c>
      <c r="D360" s="25">
        <v>324</v>
      </c>
      <c r="E360" s="24" t="s">
        <v>288</v>
      </c>
      <c r="F360" s="23" t="s">
        <v>286</v>
      </c>
      <c r="G360" s="23" t="s">
        <v>1036</v>
      </c>
      <c r="H360" s="23" t="s">
        <v>1078</v>
      </c>
    </row>
    <row r="361" spans="1:8">
      <c r="A361" s="22">
        <v>358</v>
      </c>
      <c r="B361" s="25">
        <v>164</v>
      </c>
      <c r="C361" s="24" t="s">
        <v>848</v>
      </c>
      <c r="D361" s="25">
        <v>325</v>
      </c>
      <c r="E361" s="24" t="s">
        <v>287</v>
      </c>
      <c r="F361" s="23" t="s">
        <v>286</v>
      </c>
      <c r="G361" s="23" t="s">
        <v>1036</v>
      </c>
      <c r="H361" s="23" t="s">
        <v>1078</v>
      </c>
    </row>
    <row r="362" spans="1:8">
      <c r="A362" s="22">
        <v>359</v>
      </c>
      <c r="B362" s="25">
        <v>164</v>
      </c>
      <c r="C362" s="24" t="s">
        <v>848</v>
      </c>
      <c r="D362" s="25">
        <v>326</v>
      </c>
      <c r="E362" s="24" t="s">
        <v>285</v>
      </c>
      <c r="F362" s="23" t="s">
        <v>284</v>
      </c>
      <c r="G362" s="23" t="s">
        <v>1098</v>
      </c>
      <c r="H362" s="23" t="s">
        <v>1078</v>
      </c>
    </row>
    <row r="363" spans="1:8">
      <c r="A363" s="22">
        <v>360</v>
      </c>
      <c r="B363" s="25">
        <v>164</v>
      </c>
      <c r="C363" s="24" t="s">
        <v>848</v>
      </c>
      <c r="D363" s="25">
        <v>327</v>
      </c>
      <c r="E363" s="24" t="s">
        <v>283</v>
      </c>
      <c r="F363" s="23" t="s">
        <v>279</v>
      </c>
      <c r="G363" s="23" t="s">
        <v>1098</v>
      </c>
      <c r="H363" s="23" t="s">
        <v>1078</v>
      </c>
    </row>
    <row r="364" spans="1:8">
      <c r="A364" s="22">
        <v>361</v>
      </c>
      <c r="B364" s="25">
        <v>164</v>
      </c>
      <c r="C364" s="24" t="s">
        <v>848</v>
      </c>
      <c r="D364" s="25">
        <v>328</v>
      </c>
      <c r="E364" s="24" t="s">
        <v>282</v>
      </c>
      <c r="F364" s="23" t="s">
        <v>281</v>
      </c>
      <c r="G364" s="23" t="s">
        <v>1098</v>
      </c>
      <c r="H364" s="23" t="s">
        <v>1078</v>
      </c>
    </row>
    <row r="365" spans="1:8">
      <c r="A365" s="22">
        <v>362</v>
      </c>
      <c r="B365" s="25">
        <v>164</v>
      </c>
      <c r="C365" s="24" t="s">
        <v>848</v>
      </c>
      <c r="D365" s="25">
        <v>329</v>
      </c>
      <c r="E365" s="24" t="s">
        <v>280</v>
      </c>
      <c r="F365" s="23" t="s">
        <v>279</v>
      </c>
      <c r="G365" s="23" t="s">
        <v>1098</v>
      </c>
      <c r="H365" s="23" t="s">
        <v>1078</v>
      </c>
    </row>
    <row r="366" spans="1:8">
      <c r="A366" s="22">
        <v>363</v>
      </c>
      <c r="B366" s="25">
        <v>164</v>
      </c>
      <c r="C366" s="24" t="s">
        <v>848</v>
      </c>
      <c r="D366" s="25">
        <v>440</v>
      </c>
      <c r="E366" s="24" t="s">
        <v>849</v>
      </c>
      <c r="F366" s="23" t="s">
        <v>1094</v>
      </c>
      <c r="G366" s="23"/>
      <c r="H366" s="23" t="s">
        <v>1078</v>
      </c>
    </row>
    <row r="367" spans="1:8">
      <c r="A367" s="22">
        <v>364</v>
      </c>
      <c r="B367" s="25">
        <v>164</v>
      </c>
      <c r="C367" s="24" t="s">
        <v>848</v>
      </c>
      <c r="D367" s="25">
        <v>456</v>
      </c>
      <c r="E367" s="24" t="s">
        <v>850</v>
      </c>
      <c r="F367" s="23" t="s">
        <v>1095</v>
      </c>
      <c r="G367" s="23"/>
      <c r="H367" s="23" t="s">
        <v>1078</v>
      </c>
    </row>
    <row r="368" spans="1:8">
      <c r="A368" s="22">
        <v>365</v>
      </c>
      <c r="B368" s="25">
        <v>164</v>
      </c>
      <c r="C368" s="24" t="s">
        <v>848</v>
      </c>
      <c r="D368" s="25">
        <v>472</v>
      </c>
      <c r="E368" s="24" t="s">
        <v>851</v>
      </c>
      <c r="F368" s="23" t="s">
        <v>1096</v>
      </c>
      <c r="G368" s="23"/>
      <c r="H368" s="23" t="s">
        <v>1078</v>
      </c>
    </row>
    <row r="369" spans="1:8">
      <c r="A369" s="22">
        <v>366</v>
      </c>
      <c r="B369" s="25">
        <v>114</v>
      </c>
      <c r="C369" s="24" t="s">
        <v>852</v>
      </c>
      <c r="D369" s="25">
        <v>330</v>
      </c>
      <c r="E369" s="24" t="s">
        <v>629</v>
      </c>
      <c r="F369" s="23" t="s">
        <v>628</v>
      </c>
      <c r="G369" s="23"/>
      <c r="H369" s="23" t="s">
        <v>1325</v>
      </c>
    </row>
    <row r="370" spans="1:8">
      <c r="A370" s="22">
        <v>367</v>
      </c>
      <c r="B370" s="25">
        <v>114</v>
      </c>
      <c r="C370" s="24" t="s">
        <v>852</v>
      </c>
      <c r="D370" s="25">
        <v>331</v>
      </c>
      <c r="E370" s="24" t="s">
        <v>627</v>
      </c>
      <c r="F370" s="23" t="s">
        <v>626</v>
      </c>
      <c r="G370" s="23"/>
      <c r="H370" s="23" t="s">
        <v>1325</v>
      </c>
    </row>
    <row r="371" spans="1:8">
      <c r="A371" s="22">
        <v>368</v>
      </c>
      <c r="B371" s="25">
        <v>114</v>
      </c>
      <c r="C371" s="24" t="s">
        <v>852</v>
      </c>
      <c r="D371" s="25">
        <v>332</v>
      </c>
      <c r="E371" s="24" t="s">
        <v>625</v>
      </c>
      <c r="F371" s="23" t="s">
        <v>624</v>
      </c>
      <c r="G371" s="23"/>
      <c r="H371" s="23" t="s">
        <v>1325</v>
      </c>
    </row>
    <row r="372" spans="1:8">
      <c r="A372" s="22">
        <v>369</v>
      </c>
      <c r="B372" s="25">
        <v>114</v>
      </c>
      <c r="C372" s="24" t="s">
        <v>852</v>
      </c>
      <c r="D372" s="25">
        <v>333</v>
      </c>
      <c r="E372" s="24" t="s">
        <v>623</v>
      </c>
      <c r="F372" s="23" t="s">
        <v>622</v>
      </c>
      <c r="G372" s="23"/>
      <c r="H372" s="23" t="s">
        <v>1325</v>
      </c>
    </row>
    <row r="373" spans="1:8">
      <c r="A373" s="22">
        <v>370</v>
      </c>
      <c r="B373" s="25">
        <v>114</v>
      </c>
      <c r="C373" s="24" t="s">
        <v>852</v>
      </c>
      <c r="D373" s="25">
        <v>334</v>
      </c>
      <c r="E373" s="24" t="s">
        <v>853</v>
      </c>
      <c r="F373" s="26" t="s">
        <v>620</v>
      </c>
      <c r="G373" s="23"/>
      <c r="H373" s="23" t="s">
        <v>1325</v>
      </c>
    </row>
    <row r="374" spans="1:8">
      <c r="A374" s="22">
        <v>371</v>
      </c>
      <c r="B374" s="25">
        <v>114</v>
      </c>
      <c r="C374" s="24" t="s">
        <v>852</v>
      </c>
      <c r="D374" s="25">
        <v>335</v>
      </c>
      <c r="E374" s="24" t="s">
        <v>621</v>
      </c>
      <c r="F374" s="23" t="s">
        <v>620</v>
      </c>
      <c r="G374" s="23"/>
      <c r="H374" s="23" t="s">
        <v>1325</v>
      </c>
    </row>
    <row r="375" spans="1:8">
      <c r="A375" s="22">
        <v>372</v>
      </c>
      <c r="B375" s="25">
        <v>114</v>
      </c>
      <c r="C375" s="24" t="s">
        <v>852</v>
      </c>
      <c r="D375" s="25">
        <v>336</v>
      </c>
      <c r="E375" s="24" t="s">
        <v>619</v>
      </c>
      <c r="F375" s="23" t="s">
        <v>618</v>
      </c>
      <c r="G375" s="23" t="s">
        <v>1038</v>
      </c>
      <c r="H375" s="23" t="s">
        <v>1325</v>
      </c>
    </row>
    <row r="376" spans="1:8">
      <c r="A376" s="22">
        <v>373</v>
      </c>
      <c r="B376" s="25">
        <v>114</v>
      </c>
      <c r="C376" s="24" t="s">
        <v>852</v>
      </c>
      <c r="D376" s="25">
        <v>337</v>
      </c>
      <c r="E376" s="24" t="s">
        <v>617</v>
      </c>
      <c r="F376" s="23" t="s">
        <v>616</v>
      </c>
      <c r="G376" s="23" t="s">
        <v>1038</v>
      </c>
      <c r="H376" s="23" t="s">
        <v>1325</v>
      </c>
    </row>
    <row r="377" spans="1:8">
      <c r="A377" s="22">
        <v>374</v>
      </c>
      <c r="B377" s="25">
        <v>114</v>
      </c>
      <c r="C377" s="24" t="s">
        <v>852</v>
      </c>
      <c r="D377" s="25">
        <v>338</v>
      </c>
      <c r="E377" s="24" t="s">
        <v>615</v>
      </c>
      <c r="F377" s="23" t="s">
        <v>614</v>
      </c>
      <c r="G377" s="23"/>
      <c r="H377" s="23" t="s">
        <v>1325</v>
      </c>
    </row>
    <row r="378" spans="1:8">
      <c r="A378" s="22">
        <v>375</v>
      </c>
      <c r="B378" s="25">
        <v>114</v>
      </c>
      <c r="C378" s="24" t="s">
        <v>852</v>
      </c>
      <c r="D378" s="25">
        <v>339</v>
      </c>
      <c r="E378" s="24" t="s">
        <v>613</v>
      </c>
      <c r="F378" s="23" t="s">
        <v>612</v>
      </c>
      <c r="G378" s="23"/>
      <c r="H378" s="23" t="s">
        <v>1325</v>
      </c>
    </row>
    <row r="379" spans="1:8">
      <c r="A379" s="22">
        <v>376</v>
      </c>
      <c r="B379" s="25">
        <v>114</v>
      </c>
      <c r="C379" s="24" t="s">
        <v>852</v>
      </c>
      <c r="D379" s="25">
        <v>340</v>
      </c>
      <c r="E379" s="24" t="s">
        <v>611</v>
      </c>
      <c r="F379" s="23" t="s">
        <v>610</v>
      </c>
      <c r="G379" s="23"/>
      <c r="H379" s="23" t="s">
        <v>1325</v>
      </c>
    </row>
    <row r="380" spans="1:8">
      <c r="A380" s="22">
        <v>377</v>
      </c>
      <c r="B380" s="25">
        <v>114</v>
      </c>
      <c r="C380" s="24" t="s">
        <v>852</v>
      </c>
      <c r="D380" s="25">
        <v>341</v>
      </c>
      <c r="E380" s="24" t="s">
        <v>609</v>
      </c>
      <c r="F380" s="23" t="s">
        <v>608</v>
      </c>
      <c r="G380" s="23"/>
      <c r="H380" s="23" t="s">
        <v>1325</v>
      </c>
    </row>
    <row r="381" spans="1:8">
      <c r="A381" s="22">
        <v>378</v>
      </c>
      <c r="B381" s="25">
        <v>114</v>
      </c>
      <c r="C381" s="24" t="s">
        <v>852</v>
      </c>
      <c r="D381" s="25">
        <v>342</v>
      </c>
      <c r="E381" s="24" t="s">
        <v>607</v>
      </c>
      <c r="F381" s="23" t="s">
        <v>606</v>
      </c>
      <c r="G381" s="23"/>
      <c r="H381" s="23" t="s">
        <v>1325</v>
      </c>
    </row>
    <row r="382" spans="1:8">
      <c r="A382" s="22">
        <v>379</v>
      </c>
      <c r="B382" s="25">
        <v>114</v>
      </c>
      <c r="C382" s="24" t="s">
        <v>852</v>
      </c>
      <c r="D382" s="25">
        <v>441</v>
      </c>
      <c r="E382" s="24" t="s">
        <v>854</v>
      </c>
      <c r="F382" s="23" t="s">
        <v>1094</v>
      </c>
      <c r="G382" s="23"/>
      <c r="H382" s="23" t="s">
        <v>1325</v>
      </c>
    </row>
    <row r="383" spans="1:8">
      <c r="A383" s="22">
        <v>380</v>
      </c>
      <c r="B383" s="25">
        <v>114</v>
      </c>
      <c r="C383" s="24" t="s">
        <v>852</v>
      </c>
      <c r="D383" s="25">
        <v>457</v>
      </c>
      <c r="E383" s="24" t="s">
        <v>855</v>
      </c>
      <c r="F383" s="23" t="s">
        <v>1095</v>
      </c>
      <c r="G383" s="23"/>
      <c r="H383" s="23" t="s">
        <v>1325</v>
      </c>
    </row>
    <row r="384" spans="1:8">
      <c r="A384" s="22">
        <v>381</v>
      </c>
      <c r="B384" s="25">
        <v>114</v>
      </c>
      <c r="C384" s="24" t="s">
        <v>852</v>
      </c>
      <c r="D384" s="25">
        <v>473</v>
      </c>
      <c r="E384" s="24" t="s">
        <v>856</v>
      </c>
      <c r="F384" s="23" t="s">
        <v>1096</v>
      </c>
      <c r="G384" s="23"/>
      <c r="H384" s="23" t="s">
        <v>1325</v>
      </c>
    </row>
    <row r="385" spans="1:8">
      <c r="A385" s="22">
        <v>382</v>
      </c>
      <c r="B385" s="25">
        <v>168</v>
      </c>
      <c r="C385" s="24" t="s">
        <v>857</v>
      </c>
      <c r="D385" s="25">
        <v>343</v>
      </c>
      <c r="E385" s="24" t="s">
        <v>249</v>
      </c>
      <c r="F385" s="23" t="s">
        <v>202</v>
      </c>
      <c r="G385" s="23"/>
      <c r="H385" s="23" t="s">
        <v>1030</v>
      </c>
    </row>
    <row r="386" spans="1:8">
      <c r="A386" s="22">
        <v>383</v>
      </c>
      <c r="B386" s="25">
        <v>168</v>
      </c>
      <c r="C386" s="24" t="s">
        <v>857</v>
      </c>
      <c r="D386" s="25">
        <v>344</v>
      </c>
      <c r="E386" s="24" t="s">
        <v>248</v>
      </c>
      <c r="F386" s="23" t="s">
        <v>247</v>
      </c>
      <c r="G386" s="23"/>
      <c r="H386" s="23" t="s">
        <v>1030</v>
      </c>
    </row>
    <row r="387" spans="1:8">
      <c r="A387" s="22">
        <v>384</v>
      </c>
      <c r="B387" s="25">
        <v>168</v>
      </c>
      <c r="C387" s="24" t="s">
        <v>857</v>
      </c>
      <c r="D387" s="25">
        <v>345</v>
      </c>
      <c r="E387" s="24" t="s">
        <v>246</v>
      </c>
      <c r="F387" s="23" t="s">
        <v>245</v>
      </c>
      <c r="G387" s="23"/>
      <c r="H387" s="23" t="s">
        <v>1030</v>
      </c>
    </row>
    <row r="388" spans="1:8">
      <c r="A388" s="22">
        <v>385</v>
      </c>
      <c r="B388" s="25">
        <v>168</v>
      </c>
      <c r="C388" s="24" t="s">
        <v>857</v>
      </c>
      <c r="D388" s="25">
        <v>346</v>
      </c>
      <c r="E388" s="24" t="s">
        <v>244</v>
      </c>
      <c r="F388" s="23" t="s">
        <v>243</v>
      </c>
      <c r="G388" s="23"/>
      <c r="H388" s="23" t="s">
        <v>1030</v>
      </c>
    </row>
    <row r="389" spans="1:8">
      <c r="A389" s="22">
        <v>386</v>
      </c>
      <c r="B389" s="25">
        <v>168</v>
      </c>
      <c r="C389" s="24" t="s">
        <v>857</v>
      </c>
      <c r="D389" s="25">
        <v>347</v>
      </c>
      <c r="E389" s="24" t="s">
        <v>242</v>
      </c>
      <c r="F389" s="23" t="s">
        <v>241</v>
      </c>
      <c r="G389" s="23"/>
      <c r="H389" s="23" t="s">
        <v>1030</v>
      </c>
    </row>
    <row r="390" spans="1:8">
      <c r="A390" s="22">
        <v>387</v>
      </c>
      <c r="B390" s="25">
        <v>168</v>
      </c>
      <c r="C390" s="24" t="s">
        <v>857</v>
      </c>
      <c r="D390" s="25">
        <v>348</v>
      </c>
      <c r="E390" s="24" t="s">
        <v>240</v>
      </c>
      <c r="F390" s="23" t="s">
        <v>239</v>
      </c>
      <c r="G390" s="23" t="s">
        <v>1036</v>
      </c>
      <c r="H390" s="23" t="s">
        <v>1030</v>
      </c>
    </row>
    <row r="391" spans="1:8">
      <c r="A391" s="22">
        <v>388</v>
      </c>
      <c r="B391" s="25">
        <v>168</v>
      </c>
      <c r="C391" s="24" t="s">
        <v>857</v>
      </c>
      <c r="D391" s="25">
        <v>349</v>
      </c>
      <c r="E391" s="24" t="s">
        <v>238</v>
      </c>
      <c r="F391" s="23" t="s">
        <v>237</v>
      </c>
      <c r="G391" s="23"/>
      <c r="H391" s="23" t="s">
        <v>1030</v>
      </c>
    </row>
    <row r="392" spans="1:8">
      <c r="A392" s="22">
        <v>389</v>
      </c>
      <c r="B392" s="25">
        <v>168</v>
      </c>
      <c r="C392" s="24" t="s">
        <v>857</v>
      </c>
      <c r="D392" s="25">
        <v>350</v>
      </c>
      <c r="E392" s="24" t="s">
        <v>217</v>
      </c>
      <c r="F392" s="23" t="s">
        <v>216</v>
      </c>
      <c r="G392" s="23"/>
      <c r="H392" s="23" t="s">
        <v>1030</v>
      </c>
    </row>
    <row r="393" spans="1:8">
      <c r="A393" s="22">
        <v>390</v>
      </c>
      <c r="B393" s="25">
        <v>168</v>
      </c>
      <c r="C393" s="24" t="s">
        <v>857</v>
      </c>
      <c r="D393" s="25">
        <v>351</v>
      </c>
      <c r="E393" s="24" t="s">
        <v>215</v>
      </c>
      <c r="F393" s="23" t="s">
        <v>214</v>
      </c>
      <c r="G393" s="23" t="s">
        <v>1036</v>
      </c>
      <c r="H393" s="23" t="s">
        <v>1030</v>
      </c>
    </row>
    <row r="394" spans="1:8">
      <c r="A394" s="22">
        <v>391</v>
      </c>
      <c r="B394" s="25">
        <v>168</v>
      </c>
      <c r="C394" s="24" t="s">
        <v>857</v>
      </c>
      <c r="D394" s="25">
        <v>352</v>
      </c>
      <c r="E394" s="24" t="s">
        <v>213</v>
      </c>
      <c r="F394" s="23" t="s">
        <v>212</v>
      </c>
      <c r="G394" s="23"/>
      <c r="H394" s="23" t="s">
        <v>1030</v>
      </c>
    </row>
    <row r="395" spans="1:8">
      <c r="A395" s="22">
        <v>392</v>
      </c>
      <c r="B395" s="25">
        <v>168</v>
      </c>
      <c r="C395" s="24" t="s">
        <v>857</v>
      </c>
      <c r="D395" s="25">
        <v>353</v>
      </c>
      <c r="E395" s="24" t="s">
        <v>211</v>
      </c>
      <c r="F395" s="23" t="s">
        <v>210</v>
      </c>
      <c r="G395" s="23"/>
      <c r="H395" s="23" t="s">
        <v>1030</v>
      </c>
    </row>
    <row r="396" spans="1:8">
      <c r="A396" s="22">
        <v>393</v>
      </c>
      <c r="B396" s="25">
        <v>168</v>
      </c>
      <c r="C396" s="24" t="s">
        <v>857</v>
      </c>
      <c r="D396" s="25">
        <v>354</v>
      </c>
      <c r="E396" s="24" t="s">
        <v>209</v>
      </c>
      <c r="F396" s="23" t="s">
        <v>208</v>
      </c>
      <c r="G396" s="23" t="s">
        <v>1036</v>
      </c>
      <c r="H396" s="23" t="s">
        <v>1030</v>
      </c>
    </row>
    <row r="397" spans="1:8">
      <c r="A397" s="22">
        <v>394</v>
      </c>
      <c r="B397" s="25">
        <v>168</v>
      </c>
      <c r="C397" s="24" t="s">
        <v>857</v>
      </c>
      <c r="D397" s="25">
        <v>355</v>
      </c>
      <c r="E397" s="24" t="s">
        <v>207</v>
      </c>
      <c r="F397" s="23" t="s">
        <v>206</v>
      </c>
      <c r="G397" s="23"/>
      <c r="H397" s="23" t="s">
        <v>1030</v>
      </c>
    </row>
    <row r="398" spans="1:8">
      <c r="A398" s="22">
        <v>395</v>
      </c>
      <c r="B398" s="25">
        <v>168</v>
      </c>
      <c r="C398" s="24" t="s">
        <v>857</v>
      </c>
      <c r="D398" s="25">
        <v>356</v>
      </c>
      <c r="E398" s="24" t="s">
        <v>205</v>
      </c>
      <c r="F398" s="23" t="s">
        <v>202</v>
      </c>
      <c r="G398" s="23"/>
      <c r="H398" s="23" t="s">
        <v>1030</v>
      </c>
    </row>
    <row r="399" spans="1:8">
      <c r="A399" s="22">
        <v>396</v>
      </c>
      <c r="B399" s="25">
        <v>168</v>
      </c>
      <c r="C399" s="24" t="s">
        <v>857</v>
      </c>
      <c r="D399" s="25">
        <v>357</v>
      </c>
      <c r="E399" s="24" t="s">
        <v>204</v>
      </c>
      <c r="F399" s="23" t="s">
        <v>202</v>
      </c>
      <c r="G399" s="23"/>
      <c r="H399" s="23" t="s">
        <v>1030</v>
      </c>
    </row>
    <row r="400" spans="1:8">
      <c r="A400" s="22">
        <v>397</v>
      </c>
      <c r="B400" s="25">
        <v>168</v>
      </c>
      <c r="C400" s="24" t="s">
        <v>857</v>
      </c>
      <c r="D400" s="25">
        <v>358</v>
      </c>
      <c r="E400" s="24" t="s">
        <v>203</v>
      </c>
      <c r="F400" s="23" t="s">
        <v>202</v>
      </c>
      <c r="G400" s="23"/>
      <c r="H400" s="23" t="s">
        <v>1030</v>
      </c>
    </row>
    <row r="401" spans="1:8">
      <c r="A401" s="22">
        <v>398</v>
      </c>
      <c r="B401" s="25">
        <v>168</v>
      </c>
      <c r="C401" s="24" t="s">
        <v>857</v>
      </c>
      <c r="D401" s="25">
        <v>442</v>
      </c>
      <c r="E401" s="24" t="s">
        <v>858</v>
      </c>
      <c r="F401" s="23" t="s">
        <v>1094</v>
      </c>
      <c r="G401" s="23"/>
      <c r="H401" s="23" t="s">
        <v>1030</v>
      </c>
    </row>
    <row r="402" spans="1:8">
      <c r="A402" s="22">
        <v>399</v>
      </c>
      <c r="B402" s="25">
        <v>168</v>
      </c>
      <c r="C402" s="24" t="s">
        <v>857</v>
      </c>
      <c r="D402" s="25">
        <v>458</v>
      </c>
      <c r="E402" s="24" t="s">
        <v>859</v>
      </c>
      <c r="F402" s="23" t="s">
        <v>1095</v>
      </c>
      <c r="G402" s="23"/>
      <c r="H402" s="23" t="s">
        <v>1030</v>
      </c>
    </row>
    <row r="403" spans="1:8">
      <c r="A403" s="22">
        <v>400</v>
      </c>
      <c r="B403" s="25">
        <v>168</v>
      </c>
      <c r="C403" s="24" t="s">
        <v>857</v>
      </c>
      <c r="D403" s="25">
        <v>474</v>
      </c>
      <c r="E403" s="24" t="s">
        <v>860</v>
      </c>
      <c r="F403" s="23" t="s">
        <v>1096</v>
      </c>
      <c r="G403" s="23"/>
      <c r="H403" s="23" t="s">
        <v>1030</v>
      </c>
    </row>
    <row r="404" spans="1:8">
      <c r="A404" s="22">
        <v>401</v>
      </c>
      <c r="B404" s="25">
        <v>241</v>
      </c>
      <c r="C404" s="24" t="s">
        <v>861</v>
      </c>
      <c r="D404" s="25">
        <v>359</v>
      </c>
      <c r="E404" s="24" t="s">
        <v>201</v>
      </c>
      <c r="F404" s="23" t="s">
        <v>195</v>
      </c>
      <c r="G404" s="23" t="s">
        <v>1036</v>
      </c>
      <c r="H404" s="23" t="s">
        <v>1030</v>
      </c>
    </row>
    <row r="405" spans="1:8">
      <c r="A405" s="22">
        <v>402</v>
      </c>
      <c r="B405" s="25">
        <v>241</v>
      </c>
      <c r="C405" s="24" t="s">
        <v>861</v>
      </c>
      <c r="D405" s="25">
        <v>360</v>
      </c>
      <c r="E405" s="24" t="s">
        <v>200</v>
      </c>
      <c r="F405" s="23" t="s">
        <v>199</v>
      </c>
      <c r="G405" s="23" t="s">
        <v>1036</v>
      </c>
      <c r="H405" s="23" t="s">
        <v>1030</v>
      </c>
    </row>
    <row r="406" spans="1:8">
      <c r="A406" s="22">
        <v>403</v>
      </c>
      <c r="B406" s="25">
        <v>241</v>
      </c>
      <c r="C406" s="24" t="s">
        <v>861</v>
      </c>
      <c r="D406" s="25">
        <v>361</v>
      </c>
      <c r="E406" s="24" t="s">
        <v>198</v>
      </c>
      <c r="F406" s="23" t="s">
        <v>195</v>
      </c>
      <c r="G406" s="23" t="s">
        <v>1036</v>
      </c>
      <c r="H406" s="23" t="s">
        <v>1030</v>
      </c>
    </row>
    <row r="407" spans="1:8">
      <c r="A407" s="22">
        <v>404</v>
      </c>
      <c r="B407" s="25">
        <v>241</v>
      </c>
      <c r="C407" s="24" t="s">
        <v>861</v>
      </c>
      <c r="D407" s="25">
        <v>362</v>
      </c>
      <c r="E407" s="24" t="s">
        <v>197</v>
      </c>
      <c r="F407" s="23" t="s">
        <v>195</v>
      </c>
      <c r="G407" s="23" t="s">
        <v>1036</v>
      </c>
      <c r="H407" s="23" t="s">
        <v>1030</v>
      </c>
    </row>
    <row r="408" spans="1:8">
      <c r="A408" s="22">
        <v>405</v>
      </c>
      <c r="B408" s="25">
        <v>241</v>
      </c>
      <c r="C408" s="24" t="s">
        <v>861</v>
      </c>
      <c r="D408" s="25">
        <v>363</v>
      </c>
      <c r="E408" s="24" t="s">
        <v>196</v>
      </c>
      <c r="F408" s="23" t="s">
        <v>195</v>
      </c>
      <c r="G408" s="23" t="s">
        <v>1036</v>
      </c>
      <c r="H408" s="23" t="s">
        <v>1030</v>
      </c>
    </row>
    <row r="409" spans="1:8">
      <c r="A409" s="22">
        <v>406</v>
      </c>
      <c r="B409" s="25">
        <v>241</v>
      </c>
      <c r="C409" s="24" t="s">
        <v>861</v>
      </c>
      <c r="D409" s="25">
        <v>364</v>
      </c>
      <c r="E409" s="24" t="s">
        <v>194</v>
      </c>
      <c r="F409" s="23" t="s">
        <v>193</v>
      </c>
      <c r="G409" s="23" t="s">
        <v>1036</v>
      </c>
      <c r="H409" s="23" t="s">
        <v>1030</v>
      </c>
    </row>
    <row r="410" spans="1:8">
      <c r="A410" s="22">
        <v>407</v>
      </c>
      <c r="B410" s="25">
        <v>241</v>
      </c>
      <c r="C410" s="24" t="s">
        <v>861</v>
      </c>
      <c r="D410" s="25">
        <v>365</v>
      </c>
      <c r="E410" s="24" t="s">
        <v>192</v>
      </c>
      <c r="F410" s="23" t="s">
        <v>191</v>
      </c>
      <c r="G410" s="23" t="s">
        <v>1036</v>
      </c>
      <c r="H410" s="23" t="s">
        <v>1030</v>
      </c>
    </row>
    <row r="411" spans="1:8">
      <c r="A411" s="22">
        <v>408</v>
      </c>
      <c r="B411" s="25">
        <v>241</v>
      </c>
      <c r="C411" s="24" t="s">
        <v>861</v>
      </c>
      <c r="D411" s="25">
        <v>366</v>
      </c>
      <c r="E411" s="24" t="s">
        <v>190</v>
      </c>
      <c r="F411" s="23" t="s">
        <v>189</v>
      </c>
      <c r="G411" s="23" t="s">
        <v>1036</v>
      </c>
      <c r="H411" s="23" t="s">
        <v>1030</v>
      </c>
    </row>
    <row r="412" spans="1:8">
      <c r="A412" s="22">
        <v>409</v>
      </c>
      <c r="B412" s="25">
        <v>241</v>
      </c>
      <c r="C412" s="24" t="s">
        <v>861</v>
      </c>
      <c r="D412" s="25">
        <v>367</v>
      </c>
      <c r="E412" s="24" t="s">
        <v>188</v>
      </c>
      <c r="F412" s="23" t="s">
        <v>187</v>
      </c>
      <c r="G412" s="23" t="s">
        <v>1036</v>
      </c>
      <c r="H412" s="23" t="s">
        <v>1030</v>
      </c>
    </row>
    <row r="413" spans="1:8">
      <c r="A413" s="22">
        <v>410</v>
      </c>
      <c r="B413" s="25">
        <v>241</v>
      </c>
      <c r="C413" s="24" t="s">
        <v>861</v>
      </c>
      <c r="D413" s="25">
        <v>368</v>
      </c>
      <c r="E413" s="24" t="s">
        <v>186</v>
      </c>
      <c r="F413" s="23" t="s">
        <v>185</v>
      </c>
      <c r="G413" s="23" t="s">
        <v>1036</v>
      </c>
      <c r="H413" s="23" t="s">
        <v>1030</v>
      </c>
    </row>
    <row r="414" spans="1:8">
      <c r="A414" s="22">
        <v>411</v>
      </c>
      <c r="B414" s="25">
        <v>241</v>
      </c>
      <c r="C414" s="24" t="s">
        <v>861</v>
      </c>
      <c r="D414" s="25">
        <v>369</v>
      </c>
      <c r="E414" s="24" t="s">
        <v>184</v>
      </c>
      <c r="F414" s="23" t="s">
        <v>183</v>
      </c>
      <c r="G414" s="23" t="s">
        <v>1036</v>
      </c>
      <c r="H414" s="23" t="s">
        <v>1030</v>
      </c>
    </row>
    <row r="415" spans="1:8">
      <c r="A415" s="22">
        <v>412</v>
      </c>
      <c r="B415" s="25">
        <v>241</v>
      </c>
      <c r="C415" s="24" t="s">
        <v>861</v>
      </c>
      <c r="D415" s="25">
        <v>370</v>
      </c>
      <c r="E415" s="24" t="s">
        <v>182</v>
      </c>
      <c r="F415" s="23" t="s">
        <v>181</v>
      </c>
      <c r="G415" s="23" t="s">
        <v>1036</v>
      </c>
      <c r="H415" s="23" t="s">
        <v>1030</v>
      </c>
    </row>
    <row r="416" spans="1:8">
      <c r="A416" s="22">
        <v>413</v>
      </c>
      <c r="B416" s="25">
        <v>241</v>
      </c>
      <c r="C416" s="24" t="s">
        <v>861</v>
      </c>
      <c r="D416" s="25">
        <v>371</v>
      </c>
      <c r="E416" s="24" t="s">
        <v>180</v>
      </c>
      <c r="F416" s="23" t="s">
        <v>179</v>
      </c>
      <c r="G416" s="23" t="s">
        <v>1036</v>
      </c>
      <c r="H416" s="23" t="s">
        <v>1030</v>
      </c>
    </row>
    <row r="417" spans="1:8">
      <c r="A417" s="22">
        <v>414</v>
      </c>
      <c r="B417" s="25">
        <v>241</v>
      </c>
      <c r="C417" s="24" t="s">
        <v>861</v>
      </c>
      <c r="D417" s="25">
        <v>372</v>
      </c>
      <c r="E417" s="24" t="s">
        <v>178</v>
      </c>
      <c r="F417" s="23" t="s">
        <v>177</v>
      </c>
      <c r="G417" s="23" t="s">
        <v>1036</v>
      </c>
      <c r="H417" s="23" t="s">
        <v>1030</v>
      </c>
    </row>
    <row r="418" spans="1:8">
      <c r="A418" s="22">
        <v>415</v>
      </c>
      <c r="B418" s="25">
        <v>241</v>
      </c>
      <c r="C418" s="24" t="s">
        <v>861</v>
      </c>
      <c r="D418" s="25">
        <v>373</v>
      </c>
      <c r="E418" s="24" t="s">
        <v>176</v>
      </c>
      <c r="F418" s="23" t="s">
        <v>175</v>
      </c>
      <c r="G418" s="23" t="s">
        <v>1036</v>
      </c>
      <c r="H418" s="23" t="s">
        <v>1030</v>
      </c>
    </row>
    <row r="419" spans="1:8">
      <c r="A419" s="22">
        <v>416</v>
      </c>
      <c r="B419" s="25">
        <v>241</v>
      </c>
      <c r="C419" s="24" t="s">
        <v>861</v>
      </c>
      <c r="D419" s="25">
        <v>374</v>
      </c>
      <c r="E419" s="24" t="s">
        <v>174</v>
      </c>
      <c r="F419" s="23" t="s">
        <v>164</v>
      </c>
      <c r="G419" s="23" t="s">
        <v>1036</v>
      </c>
      <c r="H419" s="23" t="s">
        <v>1030</v>
      </c>
    </row>
    <row r="420" spans="1:8">
      <c r="A420" s="22">
        <v>417</v>
      </c>
      <c r="B420" s="25">
        <v>241</v>
      </c>
      <c r="C420" s="24" t="s">
        <v>861</v>
      </c>
      <c r="D420" s="25">
        <v>375</v>
      </c>
      <c r="E420" s="24" t="s">
        <v>173</v>
      </c>
      <c r="F420" s="23" t="s">
        <v>172</v>
      </c>
      <c r="G420" s="23" t="s">
        <v>1036</v>
      </c>
      <c r="H420" s="23" t="s">
        <v>1030</v>
      </c>
    </row>
    <row r="421" spans="1:8">
      <c r="A421" s="22">
        <v>418</v>
      </c>
      <c r="B421" s="25">
        <v>241</v>
      </c>
      <c r="C421" s="24" t="s">
        <v>861</v>
      </c>
      <c r="D421" s="25">
        <v>376</v>
      </c>
      <c r="E421" s="24" t="s">
        <v>171</v>
      </c>
      <c r="F421" s="23" t="s">
        <v>170</v>
      </c>
      <c r="G421" s="23" t="s">
        <v>1036</v>
      </c>
      <c r="H421" s="23" t="s">
        <v>1030</v>
      </c>
    </row>
    <row r="422" spans="1:8">
      <c r="A422" s="22">
        <v>419</v>
      </c>
      <c r="B422" s="25">
        <v>241</v>
      </c>
      <c r="C422" s="24" t="s">
        <v>861</v>
      </c>
      <c r="D422" s="25">
        <v>377</v>
      </c>
      <c r="E422" s="24" t="s">
        <v>169</v>
      </c>
      <c r="F422" s="23" t="s">
        <v>164</v>
      </c>
      <c r="G422" s="23" t="s">
        <v>1036</v>
      </c>
      <c r="H422" s="23" t="s">
        <v>1030</v>
      </c>
    </row>
    <row r="423" spans="1:8">
      <c r="A423" s="22">
        <v>420</v>
      </c>
      <c r="B423" s="25">
        <v>241</v>
      </c>
      <c r="C423" s="24" t="s">
        <v>861</v>
      </c>
      <c r="D423" s="25">
        <v>378</v>
      </c>
      <c r="E423" s="24" t="s">
        <v>168</v>
      </c>
      <c r="F423" s="23" t="s">
        <v>164</v>
      </c>
      <c r="G423" s="23" t="s">
        <v>1036</v>
      </c>
      <c r="H423" s="23" t="s">
        <v>1030</v>
      </c>
    </row>
    <row r="424" spans="1:8">
      <c r="A424" s="22">
        <v>421</v>
      </c>
      <c r="B424" s="25">
        <v>241</v>
      </c>
      <c r="C424" s="24" t="s">
        <v>861</v>
      </c>
      <c r="D424" s="25">
        <v>379</v>
      </c>
      <c r="E424" s="24" t="s">
        <v>167</v>
      </c>
      <c r="F424" s="23" t="s">
        <v>164</v>
      </c>
      <c r="G424" s="23" t="s">
        <v>1036</v>
      </c>
      <c r="H424" s="23" t="s">
        <v>1030</v>
      </c>
    </row>
    <row r="425" spans="1:8">
      <c r="A425" s="22">
        <v>422</v>
      </c>
      <c r="B425" s="25">
        <v>241</v>
      </c>
      <c r="C425" s="24" t="s">
        <v>861</v>
      </c>
      <c r="D425" s="25">
        <v>380</v>
      </c>
      <c r="E425" s="24" t="s">
        <v>166</v>
      </c>
      <c r="F425" s="23" t="s">
        <v>164</v>
      </c>
      <c r="G425" s="23" t="s">
        <v>1036</v>
      </c>
      <c r="H425" s="23" t="s">
        <v>1030</v>
      </c>
    </row>
    <row r="426" spans="1:8">
      <c r="A426" s="22">
        <v>423</v>
      </c>
      <c r="B426" s="25">
        <v>241</v>
      </c>
      <c r="C426" s="24" t="s">
        <v>861</v>
      </c>
      <c r="D426" s="25">
        <v>381</v>
      </c>
      <c r="E426" s="24" t="s">
        <v>165</v>
      </c>
      <c r="F426" s="23" t="s">
        <v>164</v>
      </c>
      <c r="G426" s="23" t="s">
        <v>1036</v>
      </c>
      <c r="H426" s="23" t="s">
        <v>1030</v>
      </c>
    </row>
    <row r="427" spans="1:8">
      <c r="A427" s="22">
        <v>424</v>
      </c>
      <c r="B427" s="25">
        <v>241</v>
      </c>
      <c r="C427" s="24" t="s">
        <v>861</v>
      </c>
      <c r="D427" s="25">
        <v>382</v>
      </c>
      <c r="E427" s="24" t="s">
        <v>163</v>
      </c>
      <c r="F427" s="26" t="s">
        <v>965</v>
      </c>
      <c r="G427" s="23" t="s">
        <v>1036</v>
      </c>
      <c r="H427" s="23" t="s">
        <v>1030</v>
      </c>
    </row>
    <row r="428" spans="1:8">
      <c r="A428" s="22">
        <v>425</v>
      </c>
      <c r="B428" s="25">
        <v>241</v>
      </c>
      <c r="C428" s="24" t="s">
        <v>861</v>
      </c>
      <c r="D428" s="25">
        <v>383</v>
      </c>
      <c r="E428" s="24" t="s">
        <v>162</v>
      </c>
      <c r="F428" s="23" t="s">
        <v>161</v>
      </c>
      <c r="G428" s="23" t="s">
        <v>1036</v>
      </c>
      <c r="H428" s="23" t="s">
        <v>1030</v>
      </c>
    </row>
    <row r="429" spans="1:8">
      <c r="A429" s="22">
        <v>426</v>
      </c>
      <c r="B429" s="25">
        <v>241</v>
      </c>
      <c r="C429" s="24" t="s">
        <v>861</v>
      </c>
      <c r="D429" s="25">
        <v>384</v>
      </c>
      <c r="E429" s="24" t="s">
        <v>160</v>
      </c>
      <c r="F429" s="23" t="s">
        <v>159</v>
      </c>
      <c r="G429" s="23" t="s">
        <v>1036</v>
      </c>
      <c r="H429" s="23" t="s">
        <v>1030</v>
      </c>
    </row>
    <row r="430" spans="1:8">
      <c r="A430" s="22">
        <v>427</v>
      </c>
      <c r="B430" s="25">
        <v>241</v>
      </c>
      <c r="C430" s="24" t="s">
        <v>861</v>
      </c>
      <c r="D430" s="25">
        <v>385</v>
      </c>
      <c r="E430" s="24" t="s">
        <v>158</v>
      </c>
      <c r="F430" s="23" t="s">
        <v>157</v>
      </c>
      <c r="G430" s="23" t="s">
        <v>1036</v>
      </c>
      <c r="H430" s="23" t="s">
        <v>1030</v>
      </c>
    </row>
    <row r="431" spans="1:8">
      <c r="A431" s="22">
        <v>428</v>
      </c>
      <c r="B431" s="25">
        <v>241</v>
      </c>
      <c r="C431" s="24" t="s">
        <v>861</v>
      </c>
      <c r="D431" s="25">
        <v>386</v>
      </c>
      <c r="E431" s="24" t="s">
        <v>156</v>
      </c>
      <c r="F431" s="23" t="s">
        <v>155</v>
      </c>
      <c r="G431" s="23" t="s">
        <v>1036</v>
      </c>
      <c r="H431" s="23" t="s">
        <v>1030</v>
      </c>
    </row>
    <row r="432" spans="1:8">
      <c r="A432" s="22">
        <v>429</v>
      </c>
      <c r="B432" s="25">
        <v>241</v>
      </c>
      <c r="C432" s="24" t="s">
        <v>861</v>
      </c>
      <c r="D432" s="25">
        <v>387</v>
      </c>
      <c r="E432" s="24" t="s">
        <v>154</v>
      </c>
      <c r="F432" s="23" t="s">
        <v>153</v>
      </c>
      <c r="G432" s="23" t="s">
        <v>1036</v>
      </c>
      <c r="H432" s="23" t="s">
        <v>1030</v>
      </c>
    </row>
    <row r="433" spans="1:8">
      <c r="A433" s="22">
        <v>430</v>
      </c>
      <c r="B433" s="25">
        <v>241</v>
      </c>
      <c r="C433" s="24" t="s">
        <v>861</v>
      </c>
      <c r="D433" s="25">
        <v>388</v>
      </c>
      <c r="E433" s="24" t="s">
        <v>152</v>
      </c>
      <c r="F433" s="23" t="s">
        <v>151</v>
      </c>
      <c r="G433" s="23" t="s">
        <v>1036</v>
      </c>
      <c r="H433" s="23" t="s">
        <v>1030</v>
      </c>
    </row>
    <row r="434" spans="1:8">
      <c r="A434" s="22">
        <v>431</v>
      </c>
      <c r="B434" s="25">
        <v>241</v>
      </c>
      <c r="C434" s="24" t="s">
        <v>861</v>
      </c>
      <c r="D434" s="25">
        <v>389</v>
      </c>
      <c r="E434" s="24" t="s">
        <v>150</v>
      </c>
      <c r="F434" s="23" t="s">
        <v>149</v>
      </c>
      <c r="G434" s="23" t="s">
        <v>1036</v>
      </c>
      <c r="H434" s="23" t="s">
        <v>1030</v>
      </c>
    </row>
    <row r="435" spans="1:8">
      <c r="A435" s="22">
        <v>432</v>
      </c>
      <c r="B435" s="25">
        <v>241</v>
      </c>
      <c r="C435" s="24" t="s">
        <v>861</v>
      </c>
      <c r="D435" s="25">
        <v>390</v>
      </c>
      <c r="E435" s="24" t="s">
        <v>148</v>
      </c>
      <c r="F435" s="23" t="s">
        <v>147</v>
      </c>
      <c r="G435" s="23" t="s">
        <v>1036</v>
      </c>
      <c r="H435" s="23" t="s">
        <v>1030</v>
      </c>
    </row>
    <row r="436" spans="1:8">
      <c r="A436" s="22">
        <v>433</v>
      </c>
      <c r="B436" s="25">
        <v>241</v>
      </c>
      <c r="C436" s="24" t="s">
        <v>861</v>
      </c>
      <c r="D436" s="25">
        <v>443</v>
      </c>
      <c r="E436" s="24" t="s">
        <v>862</v>
      </c>
      <c r="F436" s="23" t="s">
        <v>1094</v>
      </c>
      <c r="G436" s="23"/>
      <c r="H436" s="23" t="s">
        <v>1030</v>
      </c>
    </row>
    <row r="437" spans="1:8">
      <c r="A437" s="22">
        <v>434</v>
      </c>
      <c r="B437" s="25">
        <v>241</v>
      </c>
      <c r="C437" s="24" t="s">
        <v>861</v>
      </c>
      <c r="D437" s="25">
        <v>459</v>
      </c>
      <c r="E437" s="24" t="s">
        <v>863</v>
      </c>
      <c r="F437" s="23" t="s">
        <v>1095</v>
      </c>
      <c r="G437" s="23"/>
      <c r="H437" s="23" t="s">
        <v>1030</v>
      </c>
    </row>
    <row r="438" spans="1:8">
      <c r="A438" s="22">
        <v>435</v>
      </c>
      <c r="B438" s="25">
        <v>241</v>
      </c>
      <c r="C438" s="24" t="s">
        <v>861</v>
      </c>
      <c r="D438" s="25">
        <v>475</v>
      </c>
      <c r="E438" s="24" t="s">
        <v>864</v>
      </c>
      <c r="F438" s="23" t="s">
        <v>1096</v>
      </c>
      <c r="G438" s="23"/>
      <c r="H438" s="23" t="s">
        <v>1030</v>
      </c>
    </row>
    <row r="439" spans="1:8">
      <c r="A439" s="22">
        <v>436</v>
      </c>
      <c r="B439" s="25">
        <v>291</v>
      </c>
      <c r="C439" s="24" t="s">
        <v>865</v>
      </c>
      <c r="D439" s="25">
        <v>391</v>
      </c>
      <c r="E439" s="24" t="s">
        <v>140</v>
      </c>
      <c r="F439" s="23" t="s">
        <v>139</v>
      </c>
      <c r="G439" s="23"/>
      <c r="H439" s="23" t="s">
        <v>1032</v>
      </c>
    </row>
    <row r="440" spans="1:8">
      <c r="A440" s="22">
        <v>437</v>
      </c>
      <c r="B440" s="25">
        <v>291</v>
      </c>
      <c r="C440" s="24" t="s">
        <v>865</v>
      </c>
      <c r="D440" s="25">
        <v>392</v>
      </c>
      <c r="E440" s="24" t="s">
        <v>138</v>
      </c>
      <c r="F440" s="23" t="s">
        <v>137</v>
      </c>
      <c r="G440" s="23"/>
      <c r="H440" s="23" t="s">
        <v>1032</v>
      </c>
    </row>
    <row r="441" spans="1:8">
      <c r="A441" s="22">
        <v>438</v>
      </c>
      <c r="B441" s="25">
        <v>291</v>
      </c>
      <c r="C441" s="24" t="s">
        <v>865</v>
      </c>
      <c r="D441" s="25">
        <v>393</v>
      </c>
      <c r="E441" s="24" t="s">
        <v>136</v>
      </c>
      <c r="F441" s="23" t="s">
        <v>135</v>
      </c>
      <c r="G441" s="23"/>
      <c r="H441" s="23" t="s">
        <v>1032</v>
      </c>
    </row>
    <row r="442" spans="1:8">
      <c r="A442" s="22">
        <v>439</v>
      </c>
      <c r="B442" s="25">
        <v>291</v>
      </c>
      <c r="C442" s="24" t="s">
        <v>865</v>
      </c>
      <c r="D442" s="25">
        <v>394</v>
      </c>
      <c r="E442" s="24" t="s">
        <v>134</v>
      </c>
      <c r="F442" s="23" t="s">
        <v>133</v>
      </c>
      <c r="G442" s="23"/>
      <c r="H442" s="23" t="s">
        <v>1032</v>
      </c>
    </row>
    <row r="443" spans="1:8">
      <c r="A443" s="22">
        <v>440</v>
      </c>
      <c r="B443" s="25">
        <v>291</v>
      </c>
      <c r="C443" s="24" t="s">
        <v>865</v>
      </c>
      <c r="D443" s="25">
        <v>395</v>
      </c>
      <c r="E443" s="24" t="s">
        <v>132</v>
      </c>
      <c r="F443" s="23" t="s">
        <v>131</v>
      </c>
      <c r="G443" s="23"/>
      <c r="H443" s="23" t="s">
        <v>1032</v>
      </c>
    </row>
    <row r="444" spans="1:8">
      <c r="A444" s="22">
        <v>441</v>
      </c>
      <c r="B444" s="25">
        <v>291</v>
      </c>
      <c r="C444" s="24" t="s">
        <v>865</v>
      </c>
      <c r="D444" s="25">
        <v>396</v>
      </c>
      <c r="E444" s="24" t="s">
        <v>130</v>
      </c>
      <c r="F444" s="23" t="s">
        <v>129</v>
      </c>
      <c r="G444" s="23"/>
      <c r="H444" s="23" t="s">
        <v>1030</v>
      </c>
    </row>
    <row r="445" spans="1:8">
      <c r="A445" s="22">
        <v>442</v>
      </c>
      <c r="B445" s="25">
        <v>291</v>
      </c>
      <c r="C445" s="24" t="s">
        <v>865</v>
      </c>
      <c r="D445" s="25">
        <v>397</v>
      </c>
      <c r="E445" s="24" t="s">
        <v>128</v>
      </c>
      <c r="F445" s="23" t="s">
        <v>127</v>
      </c>
      <c r="G445" s="23"/>
      <c r="H445" s="23" t="s">
        <v>1030</v>
      </c>
    </row>
    <row r="446" spans="1:8">
      <c r="A446" s="22">
        <v>443</v>
      </c>
      <c r="B446" s="25">
        <v>291</v>
      </c>
      <c r="C446" s="24" t="s">
        <v>865</v>
      </c>
      <c r="D446" s="25">
        <v>398</v>
      </c>
      <c r="E446" s="24" t="s">
        <v>126</v>
      </c>
      <c r="F446" s="23" t="s">
        <v>125</v>
      </c>
      <c r="G446" s="23"/>
      <c r="H446" s="23" t="s">
        <v>1030</v>
      </c>
    </row>
    <row r="447" spans="1:8">
      <c r="A447" s="22">
        <v>444</v>
      </c>
      <c r="B447" s="25">
        <v>291</v>
      </c>
      <c r="C447" s="24" t="s">
        <v>865</v>
      </c>
      <c r="D447" s="25">
        <v>399</v>
      </c>
      <c r="E447" s="24" t="s">
        <v>124</v>
      </c>
      <c r="F447" s="23" t="s">
        <v>123</v>
      </c>
      <c r="G447" s="23"/>
      <c r="H447" s="23" t="s">
        <v>1030</v>
      </c>
    </row>
    <row r="448" spans="1:8">
      <c r="A448" s="22">
        <v>445</v>
      </c>
      <c r="B448" s="25">
        <v>291</v>
      </c>
      <c r="C448" s="24" t="s">
        <v>865</v>
      </c>
      <c r="D448" s="25">
        <v>400</v>
      </c>
      <c r="E448" s="24" t="s">
        <v>122</v>
      </c>
      <c r="F448" s="23" t="s">
        <v>121</v>
      </c>
      <c r="G448" s="23"/>
      <c r="H448" s="23" t="s">
        <v>1030</v>
      </c>
    </row>
    <row r="449" spans="1:8">
      <c r="A449" s="22">
        <v>446</v>
      </c>
      <c r="B449" s="25">
        <v>291</v>
      </c>
      <c r="C449" s="24" t="s">
        <v>865</v>
      </c>
      <c r="D449" s="25">
        <v>401</v>
      </c>
      <c r="E449" s="24" t="s">
        <v>119</v>
      </c>
      <c r="F449" s="23" t="s">
        <v>118</v>
      </c>
      <c r="G449" s="23"/>
      <c r="H449" s="23" t="s">
        <v>1030</v>
      </c>
    </row>
    <row r="450" spans="1:8">
      <c r="A450" s="22">
        <v>447</v>
      </c>
      <c r="B450" s="25">
        <v>291</v>
      </c>
      <c r="C450" s="24" t="s">
        <v>865</v>
      </c>
      <c r="D450" s="25">
        <v>402</v>
      </c>
      <c r="E450" s="24" t="s">
        <v>116</v>
      </c>
      <c r="F450" s="23" t="s">
        <v>115</v>
      </c>
      <c r="G450" s="23"/>
      <c r="H450" s="23" t="s">
        <v>1030</v>
      </c>
    </row>
    <row r="451" spans="1:8">
      <c r="A451" s="22">
        <v>448</v>
      </c>
      <c r="B451" s="25">
        <v>291</v>
      </c>
      <c r="C451" s="24" t="s">
        <v>865</v>
      </c>
      <c r="D451" s="25">
        <v>403</v>
      </c>
      <c r="E451" s="24" t="s">
        <v>114</v>
      </c>
      <c r="F451" s="23" t="s">
        <v>113</v>
      </c>
      <c r="G451" s="23"/>
      <c r="H451" s="23" t="s">
        <v>1030</v>
      </c>
    </row>
    <row r="452" spans="1:8">
      <c r="A452" s="22">
        <v>449</v>
      </c>
      <c r="B452" s="25">
        <v>291</v>
      </c>
      <c r="C452" s="24" t="s">
        <v>865</v>
      </c>
      <c r="D452" s="25">
        <v>404</v>
      </c>
      <c r="E452" s="24" t="s">
        <v>112</v>
      </c>
      <c r="F452" s="23" t="s">
        <v>112</v>
      </c>
      <c r="G452" s="23"/>
      <c r="H452" s="23" t="s">
        <v>1030</v>
      </c>
    </row>
    <row r="453" spans="1:8">
      <c r="A453" s="22">
        <v>450</v>
      </c>
      <c r="B453" s="25">
        <v>291</v>
      </c>
      <c r="C453" s="24" t="s">
        <v>865</v>
      </c>
      <c r="D453" s="25">
        <v>405</v>
      </c>
      <c r="E453" s="24" t="s">
        <v>111</v>
      </c>
      <c r="F453" s="23" t="s">
        <v>110</v>
      </c>
      <c r="G453" s="23"/>
      <c r="H453" s="23" t="s">
        <v>1030</v>
      </c>
    </row>
    <row r="454" spans="1:8">
      <c r="A454" s="22">
        <v>451</v>
      </c>
      <c r="B454" s="25">
        <v>291</v>
      </c>
      <c r="C454" s="24" t="s">
        <v>865</v>
      </c>
      <c r="D454" s="25">
        <v>406</v>
      </c>
      <c r="E454" s="24" t="s">
        <v>109</v>
      </c>
      <c r="F454" s="26" t="s">
        <v>966</v>
      </c>
      <c r="G454" s="23"/>
      <c r="H454" s="23" t="s">
        <v>1030</v>
      </c>
    </row>
    <row r="455" spans="1:8">
      <c r="A455" s="22">
        <v>452</v>
      </c>
      <c r="B455" s="25">
        <v>291</v>
      </c>
      <c r="C455" s="24" t="s">
        <v>865</v>
      </c>
      <c r="D455" s="25">
        <v>407</v>
      </c>
      <c r="E455" s="24" t="s">
        <v>108</v>
      </c>
      <c r="F455" s="26" t="s">
        <v>967</v>
      </c>
      <c r="G455" s="23"/>
      <c r="H455" s="23" t="s">
        <v>1030</v>
      </c>
    </row>
    <row r="456" spans="1:8">
      <c r="A456" s="22">
        <v>453</v>
      </c>
      <c r="B456" s="25">
        <v>291</v>
      </c>
      <c r="C456" s="24" t="s">
        <v>865</v>
      </c>
      <c r="D456" s="25">
        <v>408</v>
      </c>
      <c r="E456" s="24" t="s">
        <v>107</v>
      </c>
      <c r="F456" s="23" t="s">
        <v>106</v>
      </c>
      <c r="G456" s="23" t="s">
        <v>1036</v>
      </c>
      <c r="H456" s="23" t="s">
        <v>1030</v>
      </c>
    </row>
    <row r="457" spans="1:8">
      <c r="A457" s="22">
        <v>454</v>
      </c>
      <c r="B457" s="25">
        <v>291</v>
      </c>
      <c r="C457" s="24" t="s">
        <v>865</v>
      </c>
      <c r="D457" s="25">
        <v>409</v>
      </c>
      <c r="E457" s="24" t="s">
        <v>105</v>
      </c>
      <c r="F457" s="23" t="s">
        <v>104</v>
      </c>
      <c r="G457" s="23" t="s">
        <v>1036</v>
      </c>
      <c r="H457" s="23" t="s">
        <v>1030</v>
      </c>
    </row>
    <row r="458" spans="1:8">
      <c r="A458" s="22">
        <v>455</v>
      </c>
      <c r="B458" s="25">
        <v>291</v>
      </c>
      <c r="C458" s="24" t="s">
        <v>865</v>
      </c>
      <c r="D458" s="25">
        <v>410</v>
      </c>
      <c r="E458" s="24" t="s">
        <v>103</v>
      </c>
      <c r="F458" s="23" t="s">
        <v>102</v>
      </c>
      <c r="G458" s="23" t="s">
        <v>1036</v>
      </c>
      <c r="H458" s="23" t="s">
        <v>1030</v>
      </c>
    </row>
    <row r="459" spans="1:8">
      <c r="A459" s="22">
        <v>456</v>
      </c>
      <c r="B459" s="25">
        <v>291</v>
      </c>
      <c r="C459" s="24" t="s">
        <v>865</v>
      </c>
      <c r="D459" s="25">
        <v>411</v>
      </c>
      <c r="E459" s="24" t="s">
        <v>101</v>
      </c>
      <c r="F459" s="23" t="s">
        <v>100</v>
      </c>
      <c r="G459" s="23" t="s">
        <v>1036</v>
      </c>
      <c r="H459" s="23" t="s">
        <v>1030</v>
      </c>
    </row>
    <row r="460" spans="1:8">
      <c r="A460" s="22">
        <v>457</v>
      </c>
      <c r="B460" s="25">
        <v>291</v>
      </c>
      <c r="C460" s="24" t="s">
        <v>865</v>
      </c>
      <c r="D460" s="25">
        <v>412</v>
      </c>
      <c r="E460" s="24" t="s">
        <v>99</v>
      </c>
      <c r="F460" s="23" t="s">
        <v>98</v>
      </c>
      <c r="G460" s="23" t="s">
        <v>1036</v>
      </c>
      <c r="H460" s="23" t="s">
        <v>1030</v>
      </c>
    </row>
    <row r="461" spans="1:8">
      <c r="A461" s="22">
        <v>458</v>
      </c>
      <c r="B461" s="25">
        <v>291</v>
      </c>
      <c r="C461" s="24" t="s">
        <v>865</v>
      </c>
      <c r="D461" s="25">
        <v>413</v>
      </c>
      <c r="E461" s="24" t="s">
        <v>97</v>
      </c>
      <c r="F461" s="26" t="s">
        <v>968</v>
      </c>
      <c r="G461" s="23"/>
      <c r="H461" s="23" t="s">
        <v>1030</v>
      </c>
    </row>
    <row r="462" spans="1:8">
      <c r="A462" s="22">
        <v>459</v>
      </c>
      <c r="B462" s="25">
        <v>291</v>
      </c>
      <c r="C462" s="24" t="s">
        <v>865</v>
      </c>
      <c r="D462" s="25">
        <v>414</v>
      </c>
      <c r="E462" s="24" t="s">
        <v>96</v>
      </c>
      <c r="F462" s="26" t="s">
        <v>969</v>
      </c>
      <c r="G462" s="23"/>
      <c r="H462" s="23" t="s">
        <v>1030</v>
      </c>
    </row>
    <row r="463" spans="1:8">
      <c r="A463" s="22">
        <v>460</v>
      </c>
      <c r="B463" s="25">
        <v>291</v>
      </c>
      <c r="C463" s="24" t="s">
        <v>865</v>
      </c>
      <c r="D463" s="25">
        <v>415</v>
      </c>
      <c r="E463" s="24" t="s">
        <v>95</v>
      </c>
      <c r="F463" s="23" t="s">
        <v>94</v>
      </c>
      <c r="G463" s="23"/>
      <c r="H463" s="23" t="s">
        <v>1030</v>
      </c>
    </row>
    <row r="464" spans="1:8">
      <c r="A464" s="22">
        <v>461</v>
      </c>
      <c r="B464" s="25">
        <v>291</v>
      </c>
      <c r="C464" s="24" t="s">
        <v>865</v>
      </c>
      <c r="D464" s="25">
        <v>416</v>
      </c>
      <c r="E464" s="24" t="s">
        <v>93</v>
      </c>
      <c r="F464" s="23" t="s">
        <v>92</v>
      </c>
      <c r="G464" s="23"/>
      <c r="H464" s="23" t="s">
        <v>1030</v>
      </c>
    </row>
    <row r="465" spans="1:8">
      <c r="A465" s="22">
        <v>462</v>
      </c>
      <c r="B465" s="25">
        <v>291</v>
      </c>
      <c r="C465" s="24" t="s">
        <v>865</v>
      </c>
      <c r="D465" s="25">
        <v>417</v>
      </c>
      <c r="E465" s="24" t="s">
        <v>91</v>
      </c>
      <c r="F465" s="23" t="s">
        <v>90</v>
      </c>
      <c r="G465" s="23"/>
      <c r="H465" s="23" t="s">
        <v>1030</v>
      </c>
    </row>
    <row r="466" spans="1:8">
      <c r="A466" s="22">
        <v>463</v>
      </c>
      <c r="B466" s="25">
        <v>291</v>
      </c>
      <c r="C466" s="24" t="s">
        <v>865</v>
      </c>
      <c r="D466" s="25">
        <v>418</v>
      </c>
      <c r="E466" s="24" t="s">
        <v>89</v>
      </c>
      <c r="F466" s="23" t="s">
        <v>88</v>
      </c>
      <c r="G466" s="23"/>
      <c r="H466" s="23" t="s">
        <v>1030</v>
      </c>
    </row>
    <row r="467" spans="1:8">
      <c r="A467" s="22">
        <v>464</v>
      </c>
      <c r="B467" s="25">
        <v>291</v>
      </c>
      <c r="C467" s="24" t="s">
        <v>865</v>
      </c>
      <c r="D467" s="25">
        <v>419</v>
      </c>
      <c r="E467" s="24" t="s">
        <v>87</v>
      </c>
      <c r="F467" s="23" t="s">
        <v>86</v>
      </c>
      <c r="G467" s="23"/>
      <c r="H467" s="23" t="s">
        <v>1030</v>
      </c>
    </row>
    <row r="468" spans="1:8">
      <c r="A468" s="22">
        <v>465</v>
      </c>
      <c r="B468" s="25">
        <v>291</v>
      </c>
      <c r="C468" s="24" t="s">
        <v>865</v>
      </c>
      <c r="D468" s="25">
        <v>420</v>
      </c>
      <c r="E468" s="24" t="s">
        <v>85</v>
      </c>
      <c r="F468" s="23" t="s">
        <v>84</v>
      </c>
      <c r="G468" s="23"/>
      <c r="H468" s="23" t="s">
        <v>1030</v>
      </c>
    </row>
    <row r="469" spans="1:8">
      <c r="A469" s="22">
        <v>466</v>
      </c>
      <c r="B469" s="25">
        <v>291</v>
      </c>
      <c r="C469" s="24" t="s">
        <v>865</v>
      </c>
      <c r="D469" s="25">
        <v>421</v>
      </c>
      <c r="E469" s="24" t="s">
        <v>83</v>
      </c>
      <c r="F469" s="23" t="s">
        <v>82</v>
      </c>
      <c r="G469" s="23"/>
      <c r="H469" s="23" t="s">
        <v>1030</v>
      </c>
    </row>
    <row r="470" spans="1:8">
      <c r="A470" s="22">
        <v>467</v>
      </c>
      <c r="B470" s="25">
        <v>291</v>
      </c>
      <c r="C470" s="24" t="s">
        <v>865</v>
      </c>
      <c r="D470" s="25">
        <v>422</v>
      </c>
      <c r="E470" s="24" t="s">
        <v>81</v>
      </c>
      <c r="F470" s="23" t="s">
        <v>80</v>
      </c>
      <c r="G470" s="23"/>
      <c r="H470" s="23" t="s">
        <v>1030</v>
      </c>
    </row>
    <row r="471" spans="1:8">
      <c r="A471" s="22">
        <v>468</v>
      </c>
      <c r="B471" s="25">
        <v>291</v>
      </c>
      <c r="C471" s="24" t="s">
        <v>865</v>
      </c>
      <c r="D471" s="25">
        <v>423</v>
      </c>
      <c r="E471" s="24" t="s">
        <v>79</v>
      </c>
      <c r="F471" s="23" t="s">
        <v>78</v>
      </c>
      <c r="G471" s="23"/>
      <c r="H471" s="23" t="s">
        <v>1030</v>
      </c>
    </row>
    <row r="472" spans="1:8">
      <c r="A472" s="22">
        <v>469</v>
      </c>
      <c r="B472" s="25">
        <v>291</v>
      </c>
      <c r="C472" s="24" t="s">
        <v>865</v>
      </c>
      <c r="D472" s="25">
        <v>424</v>
      </c>
      <c r="E472" s="24" t="s">
        <v>77</v>
      </c>
      <c r="F472" s="26" t="s">
        <v>970</v>
      </c>
      <c r="G472" s="23"/>
      <c r="H472" s="23" t="s">
        <v>1030</v>
      </c>
    </row>
    <row r="473" spans="1:8">
      <c r="A473" s="22">
        <v>470</v>
      </c>
      <c r="B473" s="25">
        <v>291</v>
      </c>
      <c r="C473" s="24" t="s">
        <v>865</v>
      </c>
      <c r="D473" s="25">
        <v>425</v>
      </c>
      <c r="E473" s="24" t="s">
        <v>76</v>
      </c>
      <c r="F473" s="23" t="s">
        <v>1109</v>
      </c>
      <c r="G473" s="23"/>
      <c r="H473" s="23" t="s">
        <v>1030</v>
      </c>
    </row>
    <row r="474" spans="1:8">
      <c r="A474" s="22">
        <v>471</v>
      </c>
      <c r="B474" s="25">
        <v>291</v>
      </c>
      <c r="C474" s="24" t="s">
        <v>865</v>
      </c>
      <c r="D474" s="25">
        <v>426</v>
      </c>
      <c r="E474" s="24" t="s">
        <v>75</v>
      </c>
      <c r="F474" s="23" t="s">
        <v>74</v>
      </c>
      <c r="G474" s="23" t="s">
        <v>1036</v>
      </c>
      <c r="H474" s="23" t="s">
        <v>1030</v>
      </c>
    </row>
    <row r="475" spans="1:8">
      <c r="A475" s="22">
        <v>472</v>
      </c>
      <c r="B475" s="25">
        <v>291</v>
      </c>
      <c r="C475" s="24" t="s">
        <v>865</v>
      </c>
      <c r="D475" s="25">
        <v>427</v>
      </c>
      <c r="E475" s="24" t="s">
        <v>73</v>
      </c>
      <c r="F475" s="23" t="s">
        <v>72</v>
      </c>
      <c r="G475" s="23" t="s">
        <v>1036</v>
      </c>
      <c r="H475" s="23" t="s">
        <v>1030</v>
      </c>
    </row>
    <row r="476" spans="1:8">
      <c r="A476" s="22">
        <v>473</v>
      </c>
      <c r="B476" s="25">
        <v>291</v>
      </c>
      <c r="C476" s="24" t="s">
        <v>865</v>
      </c>
      <c r="D476" s="25">
        <v>428</v>
      </c>
      <c r="E476" s="24" t="s">
        <v>71</v>
      </c>
      <c r="F476" s="23" t="s">
        <v>70</v>
      </c>
      <c r="G476" s="23" t="s">
        <v>1036</v>
      </c>
      <c r="H476" s="23" t="s">
        <v>1030</v>
      </c>
    </row>
    <row r="477" spans="1:8">
      <c r="A477" s="22">
        <v>474</v>
      </c>
      <c r="B477" s="25">
        <v>291</v>
      </c>
      <c r="C477" s="24" t="s">
        <v>865</v>
      </c>
      <c r="D477" s="25">
        <v>444</v>
      </c>
      <c r="E477" s="24" t="s">
        <v>866</v>
      </c>
      <c r="F477" s="23" t="s">
        <v>1094</v>
      </c>
      <c r="G477" s="23"/>
      <c r="H477" s="23" t="s">
        <v>1030</v>
      </c>
    </row>
    <row r="478" spans="1:8">
      <c r="A478" s="22">
        <v>475</v>
      </c>
      <c r="B478" s="25">
        <v>291</v>
      </c>
      <c r="C478" s="24" t="s">
        <v>865</v>
      </c>
      <c r="D478" s="25">
        <v>460</v>
      </c>
      <c r="E478" s="24" t="s">
        <v>867</v>
      </c>
      <c r="F478" s="23" t="s">
        <v>1095</v>
      </c>
      <c r="G478" s="23"/>
      <c r="H478" s="23" t="s">
        <v>1030</v>
      </c>
    </row>
    <row r="479" spans="1:8">
      <c r="A479" s="22">
        <v>476</v>
      </c>
      <c r="B479" s="25">
        <v>291</v>
      </c>
      <c r="C479" s="24" t="s">
        <v>865</v>
      </c>
      <c r="D479" s="25">
        <v>476</v>
      </c>
      <c r="E479" s="24" t="s">
        <v>146</v>
      </c>
      <c r="F479" s="23" t="s">
        <v>1096</v>
      </c>
      <c r="G479" s="23"/>
      <c r="H479" s="23" t="s">
        <v>1030</v>
      </c>
    </row>
    <row r="480" spans="1:8">
      <c r="A480" s="22">
        <v>477</v>
      </c>
      <c r="B480" s="25">
        <v>111</v>
      </c>
      <c r="C480" s="24" t="s">
        <v>789</v>
      </c>
      <c r="D480" s="25">
        <v>477</v>
      </c>
      <c r="E480" s="24" t="s">
        <v>709</v>
      </c>
      <c r="F480" s="23" t="s">
        <v>1110</v>
      </c>
      <c r="G480" s="23"/>
      <c r="H480" s="23" t="s">
        <v>1078</v>
      </c>
    </row>
    <row r="481" spans="1:9">
      <c r="A481" s="22">
        <v>478</v>
      </c>
      <c r="B481" s="25">
        <v>111</v>
      </c>
      <c r="C481" s="24" t="s">
        <v>789</v>
      </c>
      <c r="D481" s="25">
        <v>478</v>
      </c>
      <c r="E481" s="24" t="s">
        <v>690</v>
      </c>
      <c r="F481" s="23" t="s">
        <v>689</v>
      </c>
      <c r="G481" s="23"/>
      <c r="H481" s="23" t="s">
        <v>1078</v>
      </c>
    </row>
    <row r="482" spans="1:9">
      <c r="A482" s="22">
        <v>479</v>
      </c>
      <c r="B482" s="25">
        <v>164</v>
      </c>
      <c r="C482" s="24" t="s">
        <v>848</v>
      </c>
      <c r="D482" s="25">
        <v>479</v>
      </c>
      <c r="E482" s="24" t="s">
        <v>435</v>
      </c>
      <c r="F482" s="23" t="s">
        <v>434</v>
      </c>
      <c r="G482" s="23"/>
      <c r="H482" s="23" t="s">
        <v>1078</v>
      </c>
    </row>
    <row r="483" spans="1:9" ht="13.2">
      <c r="A483" s="22">
        <v>480</v>
      </c>
      <c r="B483" s="25">
        <v>168</v>
      </c>
      <c r="C483" s="24" t="s">
        <v>857</v>
      </c>
      <c r="D483" s="25">
        <v>480</v>
      </c>
      <c r="E483" s="24" t="s">
        <v>389</v>
      </c>
      <c r="F483" s="23" t="s">
        <v>1111</v>
      </c>
      <c r="G483" s="23"/>
      <c r="H483" s="23" t="s">
        <v>1033</v>
      </c>
      <c r="I483" s="44"/>
    </row>
    <row r="484" spans="1:9" ht="13.2">
      <c r="A484" s="22">
        <v>481</v>
      </c>
      <c r="B484" s="25">
        <v>168</v>
      </c>
      <c r="C484" s="24" t="s">
        <v>857</v>
      </c>
      <c r="D484" s="25">
        <v>481</v>
      </c>
      <c r="E484" s="24" t="s">
        <v>388</v>
      </c>
      <c r="F484" s="23" t="s">
        <v>1112</v>
      </c>
      <c r="G484" s="23"/>
      <c r="H484" s="23" t="s">
        <v>1033</v>
      </c>
      <c r="I484" s="44"/>
    </row>
    <row r="485" spans="1:9" ht="13.2">
      <c r="A485" s="22">
        <v>482</v>
      </c>
      <c r="B485" s="25">
        <v>168</v>
      </c>
      <c r="C485" s="24" t="s">
        <v>857</v>
      </c>
      <c r="D485" s="25">
        <v>482</v>
      </c>
      <c r="E485" s="24" t="s">
        <v>387</v>
      </c>
      <c r="F485" s="23" t="s">
        <v>1113</v>
      </c>
      <c r="G485" s="23"/>
      <c r="H485" s="23" t="s">
        <v>1033</v>
      </c>
      <c r="I485" s="44"/>
    </row>
    <row r="486" spans="1:9" ht="13.2">
      <c r="A486" s="22">
        <v>483</v>
      </c>
      <c r="B486" s="25">
        <v>168</v>
      </c>
      <c r="C486" s="24" t="s">
        <v>857</v>
      </c>
      <c r="D486" s="25">
        <v>483</v>
      </c>
      <c r="E486" s="24" t="s">
        <v>386</v>
      </c>
      <c r="F486" s="23" t="s">
        <v>1114</v>
      </c>
      <c r="G486" s="23"/>
      <c r="H486" s="23" t="s">
        <v>1033</v>
      </c>
      <c r="I486" s="44"/>
    </row>
    <row r="487" spans="1:9" ht="13.2">
      <c r="A487" s="22">
        <v>484</v>
      </c>
      <c r="B487" s="25">
        <v>168</v>
      </c>
      <c r="C487" s="24" t="s">
        <v>857</v>
      </c>
      <c r="D487" s="25">
        <v>484</v>
      </c>
      <c r="E487" s="24" t="s">
        <v>385</v>
      </c>
      <c r="F487" s="23" t="s">
        <v>1115</v>
      </c>
      <c r="G487" s="23"/>
      <c r="H487" s="23" t="s">
        <v>1033</v>
      </c>
      <c r="I487" s="44"/>
    </row>
    <row r="488" spans="1:9" ht="13.2">
      <c r="A488" s="22">
        <v>485</v>
      </c>
      <c r="B488" s="25">
        <v>168</v>
      </c>
      <c r="C488" s="24" t="s">
        <v>857</v>
      </c>
      <c r="D488" s="25">
        <v>485</v>
      </c>
      <c r="E488" s="24" t="s">
        <v>384</v>
      </c>
      <c r="F488" s="23" t="s">
        <v>1116</v>
      </c>
      <c r="G488" s="23"/>
      <c r="H488" s="23" t="s">
        <v>1033</v>
      </c>
      <c r="I488" s="44"/>
    </row>
    <row r="489" spans="1:9" ht="13.2">
      <c r="A489" s="22">
        <v>486</v>
      </c>
      <c r="B489" s="25">
        <v>168</v>
      </c>
      <c r="C489" s="24" t="s">
        <v>857</v>
      </c>
      <c r="D489" s="25">
        <v>486</v>
      </c>
      <c r="E489" s="24" t="s">
        <v>383</v>
      </c>
      <c r="F489" s="23" t="s">
        <v>1117</v>
      </c>
      <c r="G489" s="23"/>
      <c r="H489" s="23" t="s">
        <v>1033</v>
      </c>
      <c r="I489" s="44"/>
    </row>
    <row r="490" spans="1:9" ht="13.2">
      <c r="A490" s="22">
        <v>487</v>
      </c>
      <c r="B490" s="25">
        <v>168</v>
      </c>
      <c r="C490" s="24" t="s">
        <v>857</v>
      </c>
      <c r="D490" s="25">
        <v>487</v>
      </c>
      <c r="E490" s="24" t="s">
        <v>382</v>
      </c>
      <c r="F490" s="23" t="s">
        <v>1118</v>
      </c>
      <c r="G490" s="23"/>
      <c r="H490" s="23" t="s">
        <v>1033</v>
      </c>
      <c r="I490" s="44"/>
    </row>
    <row r="491" spans="1:9" ht="13.2">
      <c r="A491" s="22">
        <v>488</v>
      </c>
      <c r="B491" s="25">
        <v>168</v>
      </c>
      <c r="C491" s="24" t="s">
        <v>857</v>
      </c>
      <c r="D491" s="25">
        <v>488</v>
      </c>
      <c r="E491" s="24" t="s">
        <v>381</v>
      </c>
      <c r="F491" s="23" t="s">
        <v>1119</v>
      </c>
      <c r="G491" s="23"/>
      <c r="H491" s="23" t="s">
        <v>1033</v>
      </c>
      <c r="I491" s="44"/>
    </row>
    <row r="492" spans="1:9" ht="13.2">
      <c r="A492" s="22">
        <v>489</v>
      </c>
      <c r="B492" s="25">
        <v>168</v>
      </c>
      <c r="C492" s="24" t="s">
        <v>857</v>
      </c>
      <c r="D492" s="25">
        <v>489</v>
      </c>
      <c r="E492" s="24" t="s">
        <v>380</v>
      </c>
      <c r="F492" s="23" t="s">
        <v>1120</v>
      </c>
      <c r="G492" s="23"/>
      <c r="H492" s="23" t="s">
        <v>1033</v>
      </c>
      <c r="I492" s="44"/>
    </row>
    <row r="493" spans="1:9">
      <c r="A493" s="22">
        <v>490</v>
      </c>
      <c r="B493" s="25">
        <v>168</v>
      </c>
      <c r="C493" s="24" t="s">
        <v>857</v>
      </c>
      <c r="D493" s="25">
        <v>490</v>
      </c>
      <c r="E493" s="24" t="s">
        <v>236</v>
      </c>
      <c r="F493" s="23" t="s">
        <v>218</v>
      </c>
      <c r="G493" s="23"/>
      <c r="H493" s="23" t="s">
        <v>1033</v>
      </c>
    </row>
    <row r="494" spans="1:9">
      <c r="A494" s="22">
        <v>491</v>
      </c>
      <c r="B494" s="25">
        <v>168</v>
      </c>
      <c r="C494" s="24" t="s">
        <v>857</v>
      </c>
      <c r="D494" s="25">
        <v>491</v>
      </c>
      <c r="E494" s="24" t="s">
        <v>234</v>
      </c>
      <c r="F494" s="23" t="s">
        <v>221</v>
      </c>
      <c r="G494" s="23"/>
      <c r="H494" s="23" t="s">
        <v>1033</v>
      </c>
    </row>
    <row r="495" spans="1:9">
      <c r="A495" s="22">
        <v>492</v>
      </c>
      <c r="B495" s="25">
        <v>168</v>
      </c>
      <c r="C495" s="24" t="s">
        <v>857</v>
      </c>
      <c r="D495" s="25">
        <v>492</v>
      </c>
      <c r="E495" s="24" t="s">
        <v>233</v>
      </c>
      <c r="F495" s="23" t="s">
        <v>219</v>
      </c>
      <c r="G495" s="23"/>
      <c r="H495" s="23" t="s">
        <v>1033</v>
      </c>
    </row>
    <row r="496" spans="1:9">
      <c r="A496" s="22">
        <v>493</v>
      </c>
      <c r="B496" s="25">
        <v>168</v>
      </c>
      <c r="C496" s="24" t="s">
        <v>857</v>
      </c>
      <c r="D496" s="25">
        <v>493</v>
      </c>
      <c r="E496" s="24" t="s">
        <v>223</v>
      </c>
      <c r="F496" s="23" t="s">
        <v>220</v>
      </c>
      <c r="G496" s="23"/>
      <c r="H496" s="23" t="s">
        <v>1033</v>
      </c>
    </row>
    <row r="497" spans="1:10">
      <c r="A497" s="22">
        <v>494</v>
      </c>
      <c r="B497" s="25">
        <v>168</v>
      </c>
      <c r="C497" s="24" t="s">
        <v>857</v>
      </c>
      <c r="D497" s="25">
        <v>494</v>
      </c>
      <c r="E497" s="24" t="s">
        <v>222</v>
      </c>
      <c r="F497" s="23" t="s">
        <v>1121</v>
      </c>
      <c r="G497" s="23"/>
      <c r="H497" s="23" t="s">
        <v>1033</v>
      </c>
    </row>
    <row r="498" spans="1:10" ht="13.2">
      <c r="A498" s="22">
        <v>495</v>
      </c>
      <c r="B498" s="25">
        <v>168</v>
      </c>
      <c r="C498" s="24" t="s">
        <v>857</v>
      </c>
      <c r="D498" s="25">
        <v>495</v>
      </c>
      <c r="E498" s="24" t="s">
        <v>1122</v>
      </c>
      <c r="F498" s="23" t="s">
        <v>868</v>
      </c>
      <c r="G498" s="23"/>
      <c r="H498" s="23" t="s">
        <v>1123</v>
      </c>
      <c r="I498" s="44"/>
    </row>
    <row r="499" spans="1:10" ht="13.2">
      <c r="A499" s="22">
        <v>496</v>
      </c>
      <c r="B499" s="25">
        <v>168</v>
      </c>
      <c r="C499" s="24" t="s">
        <v>857</v>
      </c>
      <c r="D499" s="25">
        <v>496</v>
      </c>
      <c r="E499" s="24" t="s">
        <v>869</v>
      </c>
      <c r="F499" s="23" t="s">
        <v>221</v>
      </c>
      <c r="G499" s="23"/>
      <c r="H499" s="23" t="s">
        <v>1123</v>
      </c>
      <c r="I499" s="44"/>
      <c r="J499" s="44"/>
    </row>
    <row r="500" spans="1:10" ht="13.2">
      <c r="A500" s="22">
        <v>497</v>
      </c>
      <c r="B500" s="25">
        <v>168</v>
      </c>
      <c r="C500" s="24" t="s">
        <v>857</v>
      </c>
      <c r="D500" s="25">
        <v>497</v>
      </c>
      <c r="E500" s="24" t="s">
        <v>870</v>
      </c>
      <c r="F500" s="23" t="s">
        <v>220</v>
      </c>
      <c r="G500" s="23"/>
      <c r="H500" s="23" t="s">
        <v>1123</v>
      </c>
      <c r="I500" s="44"/>
      <c r="J500" s="44"/>
    </row>
    <row r="501" spans="1:10" ht="13.2">
      <c r="A501" s="22">
        <v>498</v>
      </c>
      <c r="B501" s="25">
        <v>168</v>
      </c>
      <c r="C501" s="24" t="s">
        <v>857</v>
      </c>
      <c r="D501" s="25">
        <v>498</v>
      </c>
      <c r="E501" s="24" t="s">
        <v>871</v>
      </c>
      <c r="F501" s="23" t="s">
        <v>1124</v>
      </c>
      <c r="G501" s="23"/>
      <c r="H501" s="23" t="s">
        <v>1123</v>
      </c>
      <c r="I501" s="44"/>
      <c r="J501" s="44"/>
    </row>
    <row r="502" spans="1:10" ht="13.2">
      <c r="A502" s="22">
        <v>499</v>
      </c>
      <c r="B502" s="25">
        <v>168</v>
      </c>
      <c r="C502" s="24" t="s">
        <v>857</v>
      </c>
      <c r="D502" s="25">
        <v>499</v>
      </c>
      <c r="E502" s="24" t="s">
        <v>872</v>
      </c>
      <c r="F502" s="23" t="s">
        <v>218</v>
      </c>
      <c r="G502" s="23"/>
      <c r="H502" s="23" t="s">
        <v>1123</v>
      </c>
      <c r="I502" s="44"/>
      <c r="J502" s="44"/>
    </row>
    <row r="503" spans="1:10">
      <c r="A503" s="22">
        <v>500</v>
      </c>
      <c r="B503" s="25">
        <v>291</v>
      </c>
      <c r="C503" s="24" t="s">
        <v>865</v>
      </c>
      <c r="D503" s="25">
        <v>500</v>
      </c>
      <c r="E503" s="24" t="s">
        <v>145</v>
      </c>
      <c r="F503" s="23" t="s">
        <v>1125</v>
      </c>
      <c r="G503" s="23"/>
      <c r="H503" s="23" t="s">
        <v>1030</v>
      </c>
    </row>
    <row r="504" spans="1:10">
      <c r="A504" s="22">
        <v>501</v>
      </c>
      <c r="B504" s="25">
        <v>291</v>
      </c>
      <c r="C504" s="24" t="s">
        <v>865</v>
      </c>
      <c r="D504" s="25">
        <v>501</v>
      </c>
      <c r="E504" s="24" t="s">
        <v>144</v>
      </c>
      <c r="F504" s="23" t="s">
        <v>1126</v>
      </c>
      <c r="G504" s="23"/>
      <c r="H504" s="23" t="s">
        <v>1030</v>
      </c>
    </row>
    <row r="505" spans="1:10">
      <c r="A505" s="22">
        <v>502</v>
      </c>
      <c r="B505" s="25">
        <v>291</v>
      </c>
      <c r="C505" s="24" t="s">
        <v>865</v>
      </c>
      <c r="D505" s="25">
        <v>502</v>
      </c>
      <c r="E505" s="24" t="s">
        <v>143</v>
      </c>
      <c r="F505" s="23" t="s">
        <v>1127</v>
      </c>
      <c r="G505" s="23"/>
      <c r="H505" s="23" t="s">
        <v>1030</v>
      </c>
    </row>
    <row r="506" spans="1:10">
      <c r="A506" s="22">
        <v>503</v>
      </c>
      <c r="B506" s="25">
        <v>291</v>
      </c>
      <c r="C506" s="24" t="s">
        <v>865</v>
      </c>
      <c r="D506" s="25">
        <v>503</v>
      </c>
      <c r="E506" s="24" t="s">
        <v>142</v>
      </c>
      <c r="F506" s="23" t="s">
        <v>1128</v>
      </c>
      <c r="G506" s="23"/>
      <c r="H506" s="23" t="s">
        <v>1030</v>
      </c>
    </row>
    <row r="507" spans="1:10">
      <c r="A507" s="22">
        <v>504</v>
      </c>
      <c r="B507" s="25">
        <v>291</v>
      </c>
      <c r="C507" s="24" t="s">
        <v>865</v>
      </c>
      <c r="D507" s="25">
        <v>504</v>
      </c>
      <c r="E507" s="24" t="s">
        <v>141</v>
      </c>
      <c r="F507" s="23" t="s">
        <v>1129</v>
      </c>
      <c r="G507" s="23"/>
      <c r="H507" s="23" t="s">
        <v>1030</v>
      </c>
    </row>
    <row r="508" spans="1:10" ht="13.2">
      <c r="A508" s="22">
        <v>505</v>
      </c>
      <c r="B508" s="25">
        <v>168</v>
      </c>
      <c r="C508" s="24" t="s">
        <v>857</v>
      </c>
      <c r="D508" s="25">
        <v>505</v>
      </c>
      <c r="E508" s="24" t="s">
        <v>1130</v>
      </c>
      <c r="F508" s="23" t="s">
        <v>873</v>
      </c>
      <c r="G508" s="23"/>
      <c r="H508" s="23" t="s">
        <v>1033</v>
      </c>
      <c r="I508" s="44"/>
    </row>
    <row r="509" spans="1:10" ht="13.2">
      <c r="A509" s="22">
        <v>506</v>
      </c>
      <c r="B509" s="25">
        <v>168</v>
      </c>
      <c r="C509" s="24" t="s">
        <v>857</v>
      </c>
      <c r="D509" s="25">
        <v>506</v>
      </c>
      <c r="E509" s="24" t="s">
        <v>1131</v>
      </c>
      <c r="F509" s="23" t="s">
        <v>971</v>
      </c>
      <c r="G509" s="23"/>
      <c r="H509" s="23" t="s">
        <v>1033</v>
      </c>
      <c r="I509" s="44"/>
    </row>
    <row r="510" spans="1:10">
      <c r="A510" s="22">
        <v>507</v>
      </c>
      <c r="B510" s="25">
        <v>132</v>
      </c>
      <c r="C510" s="24" t="s">
        <v>824</v>
      </c>
      <c r="D510" s="25">
        <v>507</v>
      </c>
      <c r="E510" s="24" t="s">
        <v>379</v>
      </c>
      <c r="F510" s="23" t="s">
        <v>1132</v>
      </c>
      <c r="G510" s="23"/>
      <c r="H510" s="23" t="s">
        <v>1032</v>
      </c>
    </row>
    <row r="511" spans="1:10">
      <c r="A511" s="22">
        <v>508</v>
      </c>
      <c r="B511" s="25">
        <v>132</v>
      </c>
      <c r="C511" s="24" t="s">
        <v>824</v>
      </c>
      <c r="D511" s="25">
        <v>508</v>
      </c>
      <c r="E511" s="24" t="s">
        <v>378</v>
      </c>
      <c r="F511" s="23" t="s">
        <v>1133</v>
      </c>
      <c r="G511" s="23"/>
      <c r="H511" s="23" t="s">
        <v>1032</v>
      </c>
    </row>
    <row r="512" spans="1:10">
      <c r="A512" s="22">
        <v>509</v>
      </c>
      <c r="B512" s="25">
        <v>132</v>
      </c>
      <c r="C512" s="24" t="s">
        <v>824</v>
      </c>
      <c r="D512" s="25">
        <v>509</v>
      </c>
      <c r="E512" s="24" t="s">
        <v>377</v>
      </c>
      <c r="F512" s="23" t="s">
        <v>1134</v>
      </c>
      <c r="G512" s="23"/>
      <c r="H512" s="23" t="s">
        <v>1032</v>
      </c>
    </row>
    <row r="513" spans="1:8">
      <c r="A513" s="22">
        <v>510</v>
      </c>
      <c r="B513" s="25">
        <v>132</v>
      </c>
      <c r="C513" s="24" t="s">
        <v>824</v>
      </c>
      <c r="D513" s="25">
        <v>510</v>
      </c>
      <c r="E513" s="24" t="s">
        <v>376</v>
      </c>
      <c r="F513" s="23" t="s">
        <v>1135</v>
      </c>
      <c r="G513" s="23"/>
      <c r="H513" s="23" t="s">
        <v>1032</v>
      </c>
    </row>
    <row r="514" spans="1:8">
      <c r="A514" s="22">
        <v>511</v>
      </c>
      <c r="B514" s="25">
        <v>132</v>
      </c>
      <c r="C514" s="24" t="s">
        <v>824</v>
      </c>
      <c r="D514" s="25">
        <v>511</v>
      </c>
      <c r="E514" s="24" t="s">
        <v>375</v>
      </c>
      <c r="F514" s="23" t="s">
        <v>1136</v>
      </c>
      <c r="G514" s="23"/>
      <c r="H514" s="23" t="s">
        <v>1032</v>
      </c>
    </row>
    <row r="515" spans="1:8">
      <c r="A515" s="22">
        <v>512</v>
      </c>
      <c r="B515" s="25">
        <v>111</v>
      </c>
      <c r="C515" s="24" t="s">
        <v>789</v>
      </c>
      <c r="D515" s="25">
        <v>512</v>
      </c>
      <c r="E515" s="24" t="s">
        <v>721</v>
      </c>
      <c r="F515" s="23" t="s">
        <v>1137</v>
      </c>
      <c r="G515" s="23"/>
      <c r="H515" s="23" t="s">
        <v>1078</v>
      </c>
    </row>
    <row r="516" spans="1:8">
      <c r="A516" s="22">
        <v>513</v>
      </c>
      <c r="B516" s="25">
        <v>168</v>
      </c>
      <c r="C516" s="24" t="s">
        <v>857</v>
      </c>
      <c r="D516" s="25">
        <v>513</v>
      </c>
      <c r="E516" s="24" t="s">
        <v>224</v>
      </c>
      <c r="F516" s="23" t="s">
        <v>1138</v>
      </c>
      <c r="G516" s="23"/>
      <c r="H516" s="23" t="s">
        <v>1033</v>
      </c>
    </row>
    <row r="517" spans="1:8">
      <c r="A517" s="22">
        <v>514</v>
      </c>
      <c r="B517" s="25">
        <v>111</v>
      </c>
      <c r="C517" s="24" t="s">
        <v>789</v>
      </c>
      <c r="D517" s="25">
        <v>514</v>
      </c>
      <c r="E517" s="24" t="s">
        <v>704</v>
      </c>
      <c r="F517" s="23" t="s">
        <v>1139</v>
      </c>
      <c r="G517" s="23"/>
      <c r="H517" s="23" t="s">
        <v>1078</v>
      </c>
    </row>
    <row r="518" spans="1:8">
      <c r="A518" s="22">
        <v>515</v>
      </c>
      <c r="B518" s="25">
        <v>168</v>
      </c>
      <c r="C518" s="24" t="s">
        <v>857</v>
      </c>
      <c r="D518" s="25">
        <v>515</v>
      </c>
      <c r="E518" s="24" t="s">
        <v>235</v>
      </c>
      <c r="F518" s="23" t="s">
        <v>1140</v>
      </c>
      <c r="G518" s="23"/>
      <c r="H518" s="23" t="s">
        <v>1033</v>
      </c>
    </row>
    <row r="519" spans="1:8">
      <c r="A519" s="22">
        <v>516</v>
      </c>
      <c r="B519" s="25">
        <v>111</v>
      </c>
      <c r="C519" s="24" t="s">
        <v>789</v>
      </c>
      <c r="D519" s="25">
        <v>516</v>
      </c>
      <c r="E519" s="24" t="s">
        <v>762</v>
      </c>
      <c r="F519" s="26" t="s">
        <v>972</v>
      </c>
      <c r="G519" s="23"/>
      <c r="H519" s="23" t="s">
        <v>1078</v>
      </c>
    </row>
    <row r="520" spans="1:8">
      <c r="A520" s="22">
        <v>517</v>
      </c>
      <c r="B520" s="25">
        <v>111</v>
      </c>
      <c r="C520" s="24" t="s">
        <v>789</v>
      </c>
      <c r="D520" s="25">
        <v>517</v>
      </c>
      <c r="E520" s="24" t="s">
        <v>761</v>
      </c>
      <c r="F520" s="23" t="s">
        <v>1141</v>
      </c>
      <c r="G520" s="23"/>
      <c r="H520" s="23" t="s">
        <v>1078</v>
      </c>
    </row>
    <row r="521" spans="1:8">
      <c r="A521" s="22">
        <v>518</v>
      </c>
      <c r="B521" s="25">
        <v>164</v>
      </c>
      <c r="C521" s="24" t="s">
        <v>848</v>
      </c>
      <c r="D521" s="25">
        <v>518</v>
      </c>
      <c r="E521" s="24" t="s">
        <v>568</v>
      </c>
      <c r="F521" s="23" t="s">
        <v>567</v>
      </c>
      <c r="G521" s="23"/>
      <c r="H521" s="23" t="s">
        <v>1078</v>
      </c>
    </row>
    <row r="522" spans="1:8">
      <c r="A522" s="22">
        <v>519</v>
      </c>
      <c r="B522" s="25">
        <v>111</v>
      </c>
      <c r="C522" s="24" t="s">
        <v>789</v>
      </c>
      <c r="D522" s="25">
        <v>519</v>
      </c>
      <c r="E522" s="24" t="s">
        <v>720</v>
      </c>
      <c r="F522" s="23" t="s">
        <v>1142</v>
      </c>
      <c r="G522" s="23"/>
      <c r="H522" s="23" t="s">
        <v>1078</v>
      </c>
    </row>
    <row r="523" spans="1:8">
      <c r="A523" s="22">
        <v>520</v>
      </c>
      <c r="B523" s="25">
        <v>111</v>
      </c>
      <c r="C523" s="24" t="s">
        <v>789</v>
      </c>
      <c r="D523" s="25">
        <v>520</v>
      </c>
      <c r="E523" s="24" t="s">
        <v>719</v>
      </c>
      <c r="F523" s="23" t="s">
        <v>1143</v>
      </c>
      <c r="G523" s="23"/>
      <c r="H523" s="23" t="s">
        <v>1078</v>
      </c>
    </row>
    <row r="524" spans="1:8">
      <c r="A524" s="22">
        <v>521</v>
      </c>
      <c r="B524" s="25">
        <v>131</v>
      </c>
      <c r="C524" s="24" t="s">
        <v>818</v>
      </c>
      <c r="D524" s="25">
        <v>521</v>
      </c>
      <c r="E524" s="24" t="s">
        <v>1144</v>
      </c>
      <c r="F524" s="23" t="s">
        <v>417</v>
      </c>
      <c r="G524" s="23"/>
      <c r="H524" s="23" t="s">
        <v>1032</v>
      </c>
    </row>
    <row r="525" spans="1:8">
      <c r="A525" s="22">
        <v>522</v>
      </c>
      <c r="B525" s="25">
        <v>291</v>
      </c>
      <c r="C525" s="24" t="s">
        <v>865</v>
      </c>
      <c r="D525" s="25">
        <v>522</v>
      </c>
      <c r="E525" s="24" t="s">
        <v>1145</v>
      </c>
      <c r="F525" s="23" t="s">
        <v>120</v>
      </c>
      <c r="G525" s="23"/>
      <c r="H525" s="23" t="s">
        <v>1123</v>
      </c>
    </row>
    <row r="526" spans="1:8">
      <c r="A526" s="22">
        <v>523</v>
      </c>
      <c r="B526" s="25">
        <v>291</v>
      </c>
      <c r="C526" s="24" t="s">
        <v>865</v>
      </c>
      <c r="D526" s="25">
        <v>523</v>
      </c>
      <c r="E526" s="24" t="s">
        <v>1146</v>
      </c>
      <c r="F526" s="23" t="s">
        <v>117</v>
      </c>
      <c r="G526" s="23"/>
      <c r="H526" s="23" t="s">
        <v>1123</v>
      </c>
    </row>
    <row r="527" spans="1:8">
      <c r="A527" s="22">
        <v>524</v>
      </c>
      <c r="B527" s="25">
        <v>168</v>
      </c>
      <c r="C527" s="24" t="s">
        <v>857</v>
      </c>
      <c r="D527" s="25">
        <v>524</v>
      </c>
      <c r="E527" s="24" t="s">
        <v>232</v>
      </c>
      <c r="F527" s="23" t="s">
        <v>231</v>
      </c>
      <c r="G527" s="23"/>
      <c r="H527" s="23" t="s">
        <v>1033</v>
      </c>
    </row>
    <row r="528" spans="1:8">
      <c r="A528" s="22">
        <v>525</v>
      </c>
      <c r="B528" s="25">
        <v>168</v>
      </c>
      <c r="C528" s="24" t="s">
        <v>857</v>
      </c>
      <c r="D528" s="25">
        <v>525</v>
      </c>
      <c r="E528" s="24" t="s">
        <v>230</v>
      </c>
      <c r="F528" s="23" t="s">
        <v>229</v>
      </c>
      <c r="G528" s="23"/>
      <c r="H528" s="23" t="s">
        <v>1033</v>
      </c>
    </row>
    <row r="529" spans="1:8">
      <c r="A529" s="22">
        <v>526</v>
      </c>
      <c r="B529" s="25">
        <v>168</v>
      </c>
      <c r="C529" s="24" t="s">
        <v>857</v>
      </c>
      <c r="D529" s="25">
        <v>526</v>
      </c>
      <c r="E529" s="24" t="s">
        <v>228</v>
      </c>
      <c r="F529" s="23" t="s">
        <v>227</v>
      </c>
      <c r="G529" s="23"/>
      <c r="H529" s="23" t="s">
        <v>1033</v>
      </c>
    </row>
    <row r="530" spans="1:8">
      <c r="A530" s="22">
        <v>527</v>
      </c>
      <c r="B530" s="25">
        <v>168</v>
      </c>
      <c r="C530" s="24" t="s">
        <v>857</v>
      </c>
      <c r="D530" s="25">
        <v>527</v>
      </c>
      <c r="E530" s="24" t="s">
        <v>226</v>
      </c>
      <c r="F530" s="23" t="s">
        <v>225</v>
      </c>
      <c r="G530" s="23"/>
      <c r="H530" s="23" t="s">
        <v>1033</v>
      </c>
    </row>
    <row r="531" spans="1:8">
      <c r="A531" s="22">
        <v>528</v>
      </c>
      <c r="B531" s="25">
        <v>111</v>
      </c>
      <c r="C531" s="24" t="s">
        <v>789</v>
      </c>
      <c r="D531" s="25">
        <v>528</v>
      </c>
      <c r="E531" s="24" t="s">
        <v>1147</v>
      </c>
      <c r="F531" s="23" t="s">
        <v>741</v>
      </c>
      <c r="G531" s="23"/>
      <c r="H531" s="23" t="s">
        <v>1078</v>
      </c>
    </row>
    <row r="532" spans="1:8">
      <c r="A532" s="22">
        <v>529</v>
      </c>
      <c r="B532" s="25">
        <v>122</v>
      </c>
      <c r="C532" s="24" t="s">
        <v>804</v>
      </c>
      <c r="D532" s="25">
        <v>529</v>
      </c>
      <c r="E532" s="24" t="s">
        <v>452</v>
      </c>
      <c r="F532" s="23" t="s">
        <v>1148</v>
      </c>
      <c r="G532" s="23"/>
      <c r="H532" s="23" t="s">
        <v>1031</v>
      </c>
    </row>
    <row r="533" spans="1:8">
      <c r="A533" s="22">
        <v>530</v>
      </c>
      <c r="B533" s="25">
        <v>122</v>
      </c>
      <c r="C533" s="24" t="s">
        <v>804</v>
      </c>
      <c r="D533" s="25">
        <v>530</v>
      </c>
      <c r="E533" s="24" t="s">
        <v>451</v>
      </c>
      <c r="F533" s="23" t="s">
        <v>1149</v>
      </c>
      <c r="G533" s="23"/>
      <c r="H533" s="23" t="s">
        <v>1031</v>
      </c>
    </row>
    <row r="534" spans="1:8">
      <c r="A534" s="22">
        <v>531</v>
      </c>
      <c r="B534" s="25">
        <v>122</v>
      </c>
      <c r="C534" s="24" t="s">
        <v>804</v>
      </c>
      <c r="D534" s="25">
        <v>531</v>
      </c>
      <c r="E534" s="24" t="s">
        <v>1150</v>
      </c>
      <c r="F534" s="23" t="s">
        <v>1151</v>
      </c>
      <c r="G534" s="23"/>
      <c r="H534" s="23" t="s">
        <v>1031</v>
      </c>
    </row>
    <row r="535" spans="1:8">
      <c r="A535" s="22">
        <v>532</v>
      </c>
      <c r="B535" s="25">
        <v>161</v>
      </c>
      <c r="C535" s="24" t="s">
        <v>841</v>
      </c>
      <c r="D535" s="25">
        <v>532</v>
      </c>
      <c r="E535" s="24" t="s">
        <v>1152</v>
      </c>
      <c r="F535" s="23" t="s">
        <v>1153</v>
      </c>
      <c r="G535" s="23"/>
      <c r="H535" s="23" t="s">
        <v>1078</v>
      </c>
    </row>
    <row r="536" spans="1:8">
      <c r="A536" s="22">
        <v>533</v>
      </c>
      <c r="B536" s="25">
        <v>161</v>
      </c>
      <c r="C536" s="24" t="s">
        <v>841</v>
      </c>
      <c r="D536" s="25">
        <v>533</v>
      </c>
      <c r="E536" s="24" t="s">
        <v>1154</v>
      </c>
      <c r="F536" s="23" t="s">
        <v>1155</v>
      </c>
      <c r="G536" s="23"/>
      <c r="H536" s="23" t="s">
        <v>1078</v>
      </c>
    </row>
    <row r="537" spans="1:8">
      <c r="A537" s="22">
        <v>534</v>
      </c>
      <c r="B537" s="25">
        <v>161</v>
      </c>
      <c r="C537" s="24" t="s">
        <v>841</v>
      </c>
      <c r="D537" s="25">
        <v>534</v>
      </c>
      <c r="E537" s="24" t="s">
        <v>1156</v>
      </c>
      <c r="F537" s="23" t="s">
        <v>1157</v>
      </c>
      <c r="G537" s="23"/>
      <c r="H537" s="23" t="s">
        <v>1078</v>
      </c>
    </row>
    <row r="538" spans="1:8">
      <c r="A538" s="22">
        <v>535</v>
      </c>
      <c r="B538" s="25">
        <v>161</v>
      </c>
      <c r="C538" s="24" t="s">
        <v>841</v>
      </c>
      <c r="D538" s="25">
        <v>535</v>
      </c>
      <c r="E538" s="24" t="s">
        <v>1158</v>
      </c>
      <c r="F538" s="23" t="s">
        <v>1159</v>
      </c>
      <c r="G538" s="23"/>
      <c r="H538" s="23" t="s">
        <v>1078</v>
      </c>
    </row>
    <row r="539" spans="1:8">
      <c r="A539" s="22">
        <v>536</v>
      </c>
      <c r="B539" s="25">
        <v>114</v>
      </c>
      <c r="C539" s="24" t="s">
        <v>852</v>
      </c>
      <c r="D539" s="25">
        <v>536</v>
      </c>
      <c r="E539" s="24" t="s">
        <v>1160</v>
      </c>
      <c r="F539" s="23" t="s">
        <v>1161</v>
      </c>
      <c r="G539" s="23"/>
      <c r="H539" s="23" t="s">
        <v>1325</v>
      </c>
    </row>
    <row r="540" spans="1:8">
      <c r="A540" s="22">
        <v>537</v>
      </c>
      <c r="B540" s="25">
        <v>122</v>
      </c>
      <c r="C540" s="24" t="s">
        <v>804</v>
      </c>
      <c r="D540" s="25">
        <v>537</v>
      </c>
      <c r="E540" s="24" t="s">
        <v>1162</v>
      </c>
      <c r="F540" s="23" t="s">
        <v>1163</v>
      </c>
      <c r="G540" s="23"/>
      <c r="H540" s="23" t="s">
        <v>1031</v>
      </c>
    </row>
    <row r="541" spans="1:8">
      <c r="A541" s="27">
        <v>538</v>
      </c>
      <c r="B541" s="28">
        <v>291</v>
      </c>
      <c r="C541" s="29" t="s">
        <v>865</v>
      </c>
      <c r="D541" s="28">
        <v>538</v>
      </c>
      <c r="E541" s="29" t="s">
        <v>1164</v>
      </c>
      <c r="F541" s="26" t="s">
        <v>973</v>
      </c>
      <c r="G541" s="23"/>
      <c r="H541" s="23" t="s">
        <v>1030</v>
      </c>
    </row>
    <row r="542" spans="1:8">
      <c r="A542" s="22">
        <v>539</v>
      </c>
      <c r="B542" s="25">
        <v>114</v>
      </c>
      <c r="C542" s="24" t="s">
        <v>852</v>
      </c>
      <c r="D542" s="25">
        <v>539</v>
      </c>
      <c r="E542" s="24" t="s">
        <v>1165</v>
      </c>
      <c r="F542" s="23" t="s">
        <v>1166</v>
      </c>
      <c r="G542" s="23"/>
      <c r="H542" s="23" t="s">
        <v>1325</v>
      </c>
    </row>
    <row r="543" spans="1:8">
      <c r="A543" s="22">
        <v>540</v>
      </c>
      <c r="B543" s="25">
        <v>114</v>
      </c>
      <c r="C543" s="24" t="s">
        <v>852</v>
      </c>
      <c r="D543" s="28">
        <v>540</v>
      </c>
      <c r="E543" s="24" t="s">
        <v>1167</v>
      </c>
      <c r="F543" s="23" t="s">
        <v>1168</v>
      </c>
      <c r="G543" s="23"/>
      <c r="H543" s="23" t="s">
        <v>1325</v>
      </c>
    </row>
    <row r="544" spans="1:8">
      <c r="A544" s="22">
        <v>541</v>
      </c>
      <c r="B544" s="25">
        <v>111</v>
      </c>
      <c r="C544" s="24" t="s">
        <v>789</v>
      </c>
      <c r="D544" s="25">
        <v>541</v>
      </c>
      <c r="E544" s="24" t="s">
        <v>1169</v>
      </c>
      <c r="F544" s="23" t="s">
        <v>1170</v>
      </c>
      <c r="G544" s="23"/>
      <c r="H544" s="23" t="s">
        <v>1078</v>
      </c>
    </row>
    <row r="545" spans="1:8">
      <c r="A545" s="22">
        <v>542</v>
      </c>
      <c r="B545" s="25">
        <v>114</v>
      </c>
      <c r="C545" s="24" t="s">
        <v>852</v>
      </c>
      <c r="D545" s="28">
        <v>542</v>
      </c>
      <c r="E545" s="24" t="s">
        <v>880</v>
      </c>
      <c r="F545" s="23" t="s">
        <v>1171</v>
      </c>
      <c r="G545" s="23"/>
      <c r="H545" s="23" t="s">
        <v>1325</v>
      </c>
    </row>
    <row r="546" spans="1:8">
      <c r="A546" s="22">
        <v>543</v>
      </c>
      <c r="B546" s="25">
        <v>114</v>
      </c>
      <c r="C546" s="24" t="s">
        <v>852</v>
      </c>
      <c r="D546" s="25">
        <v>543</v>
      </c>
      <c r="E546" s="24" t="s">
        <v>1172</v>
      </c>
      <c r="F546" s="23" t="s">
        <v>1173</v>
      </c>
      <c r="G546" s="23"/>
      <c r="H546" s="23" t="s">
        <v>1325</v>
      </c>
    </row>
    <row r="547" spans="1:8">
      <c r="A547" s="27">
        <v>544</v>
      </c>
      <c r="B547" s="25">
        <v>122</v>
      </c>
      <c r="C547" s="24" t="s">
        <v>804</v>
      </c>
      <c r="D547" s="28">
        <v>544</v>
      </c>
      <c r="E547" s="24" t="s">
        <v>1174</v>
      </c>
      <c r="F547" s="23" t="s">
        <v>1175</v>
      </c>
      <c r="G547" s="23"/>
      <c r="H547" s="23" t="s">
        <v>1031</v>
      </c>
    </row>
    <row r="548" spans="1:8">
      <c r="A548" s="22">
        <v>545</v>
      </c>
      <c r="B548" s="25">
        <v>111</v>
      </c>
      <c r="C548" s="24" t="s">
        <v>789</v>
      </c>
      <c r="D548" s="25">
        <v>545</v>
      </c>
      <c r="E548" s="24" t="s">
        <v>1176</v>
      </c>
      <c r="F548" s="23" t="s">
        <v>1177</v>
      </c>
      <c r="G548" s="23"/>
      <c r="H548" s="23" t="s">
        <v>1078</v>
      </c>
    </row>
    <row r="549" spans="1:8">
      <c r="A549" s="27">
        <v>546</v>
      </c>
      <c r="B549" s="28">
        <v>123</v>
      </c>
      <c r="C549" s="29" t="s">
        <v>811</v>
      </c>
      <c r="D549" s="28">
        <v>546</v>
      </c>
      <c r="E549" s="29" t="s">
        <v>1178</v>
      </c>
      <c r="F549" s="26" t="s">
        <v>1179</v>
      </c>
      <c r="G549" s="23"/>
      <c r="H549" s="23" t="s">
        <v>1031</v>
      </c>
    </row>
    <row r="550" spans="1:8">
      <c r="A550" s="22">
        <v>547</v>
      </c>
      <c r="B550" s="25">
        <v>122</v>
      </c>
      <c r="C550" s="24" t="s">
        <v>804</v>
      </c>
      <c r="D550" s="25">
        <v>547</v>
      </c>
      <c r="E550" s="24" t="s">
        <v>882</v>
      </c>
      <c r="F550" s="23" t="s">
        <v>883</v>
      </c>
      <c r="G550" s="23"/>
      <c r="H550" s="23" t="s">
        <v>1031</v>
      </c>
    </row>
    <row r="551" spans="1:8">
      <c r="A551" s="22">
        <v>548</v>
      </c>
      <c r="B551" s="25">
        <v>131</v>
      </c>
      <c r="C551" s="24" t="s">
        <v>818</v>
      </c>
      <c r="D551" s="25">
        <v>548</v>
      </c>
      <c r="E551" s="24" t="s">
        <v>884</v>
      </c>
      <c r="F551" s="23" t="s">
        <v>885</v>
      </c>
      <c r="G551" s="23"/>
      <c r="H551" s="23" t="s">
        <v>1032</v>
      </c>
    </row>
    <row r="552" spans="1:8">
      <c r="A552" s="22">
        <v>549</v>
      </c>
      <c r="B552" s="25">
        <v>131</v>
      </c>
      <c r="C552" s="24" t="s">
        <v>818</v>
      </c>
      <c r="D552" s="25">
        <v>549</v>
      </c>
      <c r="E552" s="24" t="s">
        <v>886</v>
      </c>
      <c r="F552" s="23" t="s">
        <v>887</v>
      </c>
      <c r="G552" s="23"/>
      <c r="H552" s="23" t="s">
        <v>1032</v>
      </c>
    </row>
    <row r="553" spans="1:8">
      <c r="A553" s="22">
        <v>550</v>
      </c>
      <c r="B553" s="25">
        <v>131</v>
      </c>
      <c r="C553" s="24" t="s">
        <v>818</v>
      </c>
      <c r="D553" s="25">
        <v>550</v>
      </c>
      <c r="E553" s="24" t="s">
        <v>888</v>
      </c>
      <c r="F553" s="23" t="s">
        <v>889</v>
      </c>
      <c r="G553" s="23"/>
      <c r="H553" s="23" t="s">
        <v>1032</v>
      </c>
    </row>
    <row r="554" spans="1:8">
      <c r="A554" s="22">
        <v>551</v>
      </c>
      <c r="B554" s="25">
        <v>131</v>
      </c>
      <c r="C554" s="24" t="s">
        <v>818</v>
      </c>
      <c r="D554" s="25">
        <v>551</v>
      </c>
      <c r="E554" s="24" t="s">
        <v>890</v>
      </c>
      <c r="F554" s="23" t="s">
        <v>891</v>
      </c>
      <c r="G554" s="23"/>
      <c r="H554" s="23" t="s">
        <v>1032</v>
      </c>
    </row>
    <row r="555" spans="1:8">
      <c r="A555" s="22">
        <v>552</v>
      </c>
      <c r="B555" s="25">
        <v>168</v>
      </c>
      <c r="C555" s="24" t="s">
        <v>857</v>
      </c>
      <c r="D555" s="25">
        <v>552</v>
      </c>
      <c r="E555" s="24" t="s">
        <v>892</v>
      </c>
      <c r="F555" s="23" t="s">
        <v>893</v>
      </c>
      <c r="G555" s="23"/>
      <c r="H555" s="23" t="s">
        <v>1033</v>
      </c>
    </row>
    <row r="556" spans="1:8">
      <c r="A556" s="22">
        <v>553</v>
      </c>
      <c r="B556" s="25">
        <v>168</v>
      </c>
      <c r="C556" s="24" t="s">
        <v>857</v>
      </c>
      <c r="D556" s="25">
        <v>553</v>
      </c>
      <c r="E556" s="24" t="s">
        <v>894</v>
      </c>
      <c r="F556" s="23" t="s">
        <v>895</v>
      </c>
      <c r="G556" s="23"/>
      <c r="H556" s="23" t="s">
        <v>1033</v>
      </c>
    </row>
    <row r="557" spans="1:8">
      <c r="A557" s="22">
        <v>554</v>
      </c>
      <c r="B557" s="25">
        <v>168</v>
      </c>
      <c r="C557" s="24" t="s">
        <v>857</v>
      </c>
      <c r="D557" s="25">
        <v>554</v>
      </c>
      <c r="E557" s="24" t="s">
        <v>896</v>
      </c>
      <c r="F557" s="23" t="s">
        <v>897</v>
      </c>
      <c r="G557" s="23"/>
      <c r="H557" s="23" t="s">
        <v>1033</v>
      </c>
    </row>
    <row r="558" spans="1:8">
      <c r="A558" s="22">
        <v>555</v>
      </c>
      <c r="B558" s="25">
        <v>131</v>
      </c>
      <c r="C558" s="24" t="s">
        <v>818</v>
      </c>
      <c r="D558" s="25">
        <v>555</v>
      </c>
      <c r="E558" s="24" t="s">
        <v>898</v>
      </c>
      <c r="F558" s="23" t="s">
        <v>899</v>
      </c>
      <c r="G558" s="23"/>
      <c r="H558" s="23" t="s">
        <v>1032</v>
      </c>
    </row>
    <row r="559" spans="1:8">
      <c r="A559" s="22">
        <v>556</v>
      </c>
      <c r="B559" s="25">
        <v>168</v>
      </c>
      <c r="C559" s="24" t="s">
        <v>857</v>
      </c>
      <c r="D559" s="25">
        <v>556</v>
      </c>
      <c r="E559" s="24" t="s">
        <v>900</v>
      </c>
      <c r="F559" s="23" t="s">
        <v>901</v>
      </c>
      <c r="G559" s="23"/>
      <c r="H559" s="23" t="s">
        <v>1326</v>
      </c>
    </row>
    <row r="560" spans="1:8">
      <c r="A560" s="22">
        <v>557</v>
      </c>
      <c r="B560" s="25">
        <v>164</v>
      </c>
      <c r="C560" s="24" t="s">
        <v>1180</v>
      </c>
      <c r="D560" s="25">
        <v>557</v>
      </c>
      <c r="E560" s="24" t="s">
        <v>1181</v>
      </c>
      <c r="F560" s="23" t="s">
        <v>974</v>
      </c>
      <c r="G560" s="23"/>
      <c r="H560" s="23" t="s">
        <v>1078</v>
      </c>
    </row>
    <row r="561" spans="1:9">
      <c r="A561" s="22">
        <v>558</v>
      </c>
      <c r="B561" s="25">
        <v>166</v>
      </c>
      <c r="C561" s="24" t="s">
        <v>836</v>
      </c>
      <c r="D561" s="25">
        <v>558</v>
      </c>
      <c r="E561" s="24" t="s">
        <v>902</v>
      </c>
      <c r="F561" s="23" t="s">
        <v>903</v>
      </c>
      <c r="G561" s="23"/>
      <c r="H561" s="23" t="s">
        <v>1326</v>
      </c>
    </row>
    <row r="562" spans="1:9">
      <c r="A562" s="22">
        <v>559</v>
      </c>
      <c r="B562" s="25">
        <v>114</v>
      </c>
      <c r="C562" s="24" t="s">
        <v>852</v>
      </c>
      <c r="D562" s="25">
        <v>559</v>
      </c>
      <c r="E562" s="24" t="s">
        <v>904</v>
      </c>
      <c r="F562" s="23" t="s">
        <v>1182</v>
      </c>
      <c r="G562" s="23"/>
      <c r="H562" s="23" t="s">
        <v>1325</v>
      </c>
    </row>
    <row r="563" spans="1:9">
      <c r="A563" s="22">
        <v>560</v>
      </c>
      <c r="B563" s="25">
        <v>114</v>
      </c>
      <c r="C563" s="24" t="s">
        <v>852</v>
      </c>
      <c r="D563" s="25">
        <v>560</v>
      </c>
      <c r="E563" s="24" t="s">
        <v>905</v>
      </c>
      <c r="F563" s="23" t="s">
        <v>1183</v>
      </c>
      <c r="G563" s="23"/>
      <c r="H563" s="23" t="s">
        <v>1325</v>
      </c>
    </row>
    <row r="564" spans="1:9">
      <c r="A564" s="22">
        <v>561</v>
      </c>
      <c r="B564" s="25">
        <v>161</v>
      </c>
      <c r="C564" s="24" t="s">
        <v>841</v>
      </c>
      <c r="D564" s="25">
        <v>561</v>
      </c>
      <c r="E564" s="24" t="s">
        <v>906</v>
      </c>
      <c r="F564" s="23" t="s">
        <v>1184</v>
      </c>
      <c r="G564" s="23"/>
      <c r="H564" s="23" t="s">
        <v>1078</v>
      </c>
    </row>
    <row r="565" spans="1:9">
      <c r="A565" s="22">
        <v>562</v>
      </c>
      <c r="B565" s="25">
        <v>114</v>
      </c>
      <c r="C565" s="24" t="s">
        <v>852</v>
      </c>
      <c r="D565" s="25">
        <v>562</v>
      </c>
      <c r="E565" s="24" t="s">
        <v>975</v>
      </c>
      <c r="F565" s="23" t="s">
        <v>1185</v>
      </c>
      <c r="G565" s="23"/>
      <c r="H565" s="23" t="s">
        <v>1325</v>
      </c>
    </row>
    <row r="566" spans="1:9">
      <c r="A566" s="22">
        <v>563</v>
      </c>
      <c r="B566" s="25">
        <v>114</v>
      </c>
      <c r="C566" s="24" t="s">
        <v>852</v>
      </c>
      <c r="D566" s="25">
        <v>563</v>
      </c>
      <c r="E566" s="24" t="s">
        <v>976</v>
      </c>
      <c r="F566" s="23" t="s">
        <v>977</v>
      </c>
      <c r="G566" s="23"/>
      <c r="H566" s="23" t="s">
        <v>1325</v>
      </c>
    </row>
    <row r="567" spans="1:9">
      <c r="A567" s="22">
        <v>564</v>
      </c>
      <c r="B567" s="25">
        <v>122</v>
      </c>
      <c r="C567" s="24" t="s">
        <v>804</v>
      </c>
      <c r="D567" s="25">
        <v>564</v>
      </c>
      <c r="E567" s="24" t="s">
        <v>978</v>
      </c>
      <c r="F567" s="23" t="s">
        <v>1186</v>
      </c>
      <c r="G567" s="23"/>
      <c r="H567" s="23" t="s">
        <v>1031</v>
      </c>
    </row>
    <row r="568" spans="1:9">
      <c r="A568" s="22">
        <v>565</v>
      </c>
      <c r="B568" s="25">
        <v>291</v>
      </c>
      <c r="C568" s="24" t="s">
        <v>865</v>
      </c>
      <c r="D568" s="25">
        <v>565</v>
      </c>
      <c r="E568" s="24" t="s">
        <v>979</v>
      </c>
      <c r="F568" s="23" t="s">
        <v>1187</v>
      </c>
      <c r="G568" s="23"/>
      <c r="H568" s="23" t="s">
        <v>1030</v>
      </c>
    </row>
    <row r="569" spans="1:9" ht="13.2">
      <c r="A569" s="22">
        <v>566</v>
      </c>
      <c r="B569" s="25">
        <v>122</v>
      </c>
      <c r="C569" s="24" t="s">
        <v>804</v>
      </c>
      <c r="D569" s="25">
        <v>566</v>
      </c>
      <c r="E569" s="24" t="s">
        <v>1045</v>
      </c>
      <c r="F569" s="23" t="s">
        <v>1188</v>
      </c>
      <c r="G569" s="23"/>
      <c r="H569" s="23" t="s">
        <v>1031</v>
      </c>
      <c r="I569" s="44"/>
    </row>
    <row r="570" spans="1:9" ht="13.2">
      <c r="A570" s="22">
        <v>567</v>
      </c>
      <c r="B570" s="25">
        <v>111</v>
      </c>
      <c r="C570" s="24" t="s">
        <v>789</v>
      </c>
      <c r="D570" s="25">
        <v>567</v>
      </c>
      <c r="E570" s="24" t="s">
        <v>1046</v>
      </c>
      <c r="F570" s="23" t="s">
        <v>1189</v>
      </c>
      <c r="G570" s="23"/>
      <c r="H570" s="23" t="s">
        <v>1078</v>
      </c>
      <c r="I570" s="44"/>
    </row>
    <row r="571" spans="1:9" ht="13.2">
      <c r="A571" s="22">
        <v>568</v>
      </c>
      <c r="B571" s="25">
        <v>111</v>
      </c>
      <c r="C571" s="24" t="s">
        <v>789</v>
      </c>
      <c r="D571" s="25">
        <v>568</v>
      </c>
      <c r="E571" s="24" t="s">
        <v>1047</v>
      </c>
      <c r="F571" s="23" t="s">
        <v>1041</v>
      </c>
      <c r="G571" s="23"/>
      <c r="H571" s="23" t="s">
        <v>1078</v>
      </c>
      <c r="I571" s="44"/>
    </row>
    <row r="572" spans="1:9" ht="13.2">
      <c r="A572" s="22">
        <v>569</v>
      </c>
      <c r="B572" s="25">
        <v>168</v>
      </c>
      <c r="C572" s="24" t="s">
        <v>857</v>
      </c>
      <c r="D572" s="25">
        <v>569</v>
      </c>
      <c r="E572" s="24" t="s">
        <v>1048</v>
      </c>
      <c r="F572" s="23" t="s">
        <v>901</v>
      </c>
      <c r="G572" s="23"/>
      <c r="H572" s="23" t="s">
        <v>1326</v>
      </c>
      <c r="I572" s="44"/>
    </row>
    <row r="573" spans="1:9" ht="13.2">
      <c r="A573" s="22">
        <v>570</v>
      </c>
      <c r="B573" s="25">
        <v>114</v>
      </c>
      <c r="C573" s="24" t="s">
        <v>852</v>
      </c>
      <c r="D573" s="25">
        <v>570</v>
      </c>
      <c r="E573" s="24" t="s">
        <v>1190</v>
      </c>
      <c r="F573" s="23" t="s">
        <v>1191</v>
      </c>
      <c r="G573" s="23"/>
      <c r="H573" s="23" t="s">
        <v>1325</v>
      </c>
      <c r="I573" s="44"/>
    </row>
    <row r="574" spans="1:9" ht="13.2">
      <c r="A574" s="22">
        <v>571</v>
      </c>
      <c r="B574" s="25">
        <v>114</v>
      </c>
      <c r="C574" s="24" t="s">
        <v>852</v>
      </c>
      <c r="D574" s="25">
        <v>571</v>
      </c>
      <c r="E574" s="24" t="s">
        <v>1192</v>
      </c>
      <c r="F574" s="23" t="s">
        <v>1193</v>
      </c>
      <c r="G574" s="23"/>
      <c r="H574" s="23" t="s">
        <v>1325</v>
      </c>
      <c r="I574" s="44"/>
    </row>
    <row r="575" spans="1:9" ht="13.2">
      <c r="A575" s="22">
        <v>572</v>
      </c>
      <c r="B575" s="25">
        <v>114</v>
      </c>
      <c r="C575" s="24" t="s">
        <v>852</v>
      </c>
      <c r="D575" s="25">
        <v>572</v>
      </c>
      <c r="E575" s="24" t="s">
        <v>1194</v>
      </c>
      <c r="F575" s="23" t="s">
        <v>1195</v>
      </c>
      <c r="G575" s="23"/>
      <c r="H575" s="23" t="s">
        <v>1325</v>
      </c>
      <c r="I575" s="44"/>
    </row>
    <row r="576" spans="1:9" ht="13.2">
      <c r="A576" s="22">
        <v>573</v>
      </c>
      <c r="B576" s="25">
        <v>114</v>
      </c>
      <c r="C576" s="24" t="s">
        <v>852</v>
      </c>
      <c r="D576" s="25">
        <v>573</v>
      </c>
      <c r="E576" s="24" t="s">
        <v>1196</v>
      </c>
      <c r="F576" s="23" t="s">
        <v>1197</v>
      </c>
      <c r="G576" s="23"/>
      <c r="H576" s="23" t="s">
        <v>1325</v>
      </c>
      <c r="I576" s="44"/>
    </row>
    <row r="577" spans="1:9" ht="13.2">
      <c r="A577" s="22">
        <v>574</v>
      </c>
      <c r="B577" s="25">
        <v>114</v>
      </c>
      <c r="C577" s="24" t="s">
        <v>852</v>
      </c>
      <c r="D577" s="25">
        <v>574</v>
      </c>
      <c r="E577" s="24" t="s">
        <v>1198</v>
      </c>
      <c r="F577" s="23" t="s">
        <v>1199</v>
      </c>
      <c r="G577" s="23"/>
      <c r="H577" s="23" t="s">
        <v>1325</v>
      </c>
      <c r="I577" s="44"/>
    </row>
    <row r="578" spans="1:9">
      <c r="A578" s="22">
        <v>575</v>
      </c>
      <c r="B578" s="25">
        <v>114</v>
      </c>
      <c r="C578" s="24" t="s">
        <v>852</v>
      </c>
      <c r="D578" s="25">
        <v>575</v>
      </c>
      <c r="E578" s="24" t="s">
        <v>1200</v>
      </c>
      <c r="F578" s="23" t="s">
        <v>1201</v>
      </c>
      <c r="G578" s="23"/>
      <c r="H578" s="23" t="s">
        <v>1325</v>
      </c>
    </row>
    <row r="579" spans="1:9">
      <c r="A579" s="22">
        <v>576</v>
      </c>
      <c r="B579" s="25">
        <v>114</v>
      </c>
      <c r="C579" s="24" t="s">
        <v>852</v>
      </c>
      <c r="D579" s="25">
        <v>576</v>
      </c>
      <c r="E579" s="24" t="s">
        <v>1202</v>
      </c>
      <c r="F579" s="23" t="s">
        <v>1203</v>
      </c>
      <c r="G579" s="23"/>
      <c r="H579" s="23" t="s">
        <v>1325</v>
      </c>
    </row>
    <row r="580" spans="1:9">
      <c r="A580" s="22">
        <v>577</v>
      </c>
      <c r="B580" s="25">
        <v>114</v>
      </c>
      <c r="C580" s="24" t="s">
        <v>852</v>
      </c>
      <c r="D580" s="25">
        <v>577</v>
      </c>
      <c r="E580" s="24" t="s">
        <v>1204</v>
      </c>
      <c r="F580" s="23" t="s">
        <v>1205</v>
      </c>
      <c r="G580" s="23"/>
      <c r="H580" s="23" t="s">
        <v>1325</v>
      </c>
    </row>
    <row r="581" spans="1:9">
      <c r="A581" s="22">
        <v>578</v>
      </c>
      <c r="B581" s="25">
        <v>164</v>
      </c>
      <c r="C581" s="24" t="s">
        <v>1180</v>
      </c>
      <c r="D581" s="25">
        <v>578</v>
      </c>
      <c r="E581" s="24" t="s">
        <v>1206</v>
      </c>
      <c r="F581" s="23" t="s">
        <v>1207</v>
      </c>
      <c r="G581" s="23"/>
      <c r="H581" s="23" t="s">
        <v>1078</v>
      </c>
    </row>
    <row r="582" spans="1:9">
      <c r="A582" s="22">
        <v>579</v>
      </c>
      <c r="B582" s="25">
        <v>114</v>
      </c>
      <c r="C582" s="24" t="s">
        <v>852</v>
      </c>
      <c r="D582" s="25">
        <v>579</v>
      </c>
      <c r="E582" s="24" t="s">
        <v>1049</v>
      </c>
      <c r="F582" s="23" t="s">
        <v>1039</v>
      </c>
      <c r="G582" s="23"/>
      <c r="H582" s="23" t="s">
        <v>1325</v>
      </c>
    </row>
    <row r="583" spans="1:9">
      <c r="A583" s="22">
        <v>580</v>
      </c>
      <c r="B583" s="25">
        <v>114</v>
      </c>
      <c r="C583" s="24" t="s">
        <v>852</v>
      </c>
      <c r="D583" s="25">
        <v>580</v>
      </c>
      <c r="E583" s="24" t="s">
        <v>1050</v>
      </c>
      <c r="F583" s="23" t="s">
        <v>1042</v>
      </c>
      <c r="G583" s="23"/>
      <c r="H583" s="23" t="s">
        <v>1325</v>
      </c>
    </row>
    <row r="584" spans="1:9">
      <c r="A584" s="22">
        <v>581</v>
      </c>
      <c r="B584" s="25">
        <v>111</v>
      </c>
      <c r="C584" s="24" t="s">
        <v>789</v>
      </c>
      <c r="D584" s="25">
        <v>581</v>
      </c>
      <c r="E584" s="24" t="s">
        <v>1208</v>
      </c>
      <c r="F584" s="23" t="s">
        <v>1044</v>
      </c>
      <c r="G584" s="23"/>
      <c r="H584" s="23" t="s">
        <v>1078</v>
      </c>
    </row>
    <row r="585" spans="1:9">
      <c r="A585" s="22">
        <v>582</v>
      </c>
      <c r="B585" s="25">
        <v>164</v>
      </c>
      <c r="C585" s="24" t="s">
        <v>1180</v>
      </c>
      <c r="D585" s="25">
        <v>582</v>
      </c>
      <c r="E585" s="24" t="s">
        <v>1209</v>
      </c>
      <c r="F585" s="23" t="s">
        <v>1052</v>
      </c>
      <c r="G585" s="23"/>
      <c r="H585" s="23" t="s">
        <v>1078</v>
      </c>
      <c r="I585" s="45"/>
    </row>
    <row r="586" spans="1:9">
      <c r="A586" s="22">
        <v>583</v>
      </c>
      <c r="B586" s="25">
        <v>122</v>
      </c>
      <c r="C586" s="24" t="s">
        <v>804</v>
      </c>
      <c r="D586" s="25">
        <v>583</v>
      </c>
      <c r="E586" s="24" t="s">
        <v>1210</v>
      </c>
      <c r="F586" s="23" t="s">
        <v>1211</v>
      </c>
      <c r="G586" s="23"/>
      <c r="H586" s="23" t="s">
        <v>1031</v>
      </c>
    </row>
    <row r="587" spans="1:9">
      <c r="A587" s="22">
        <v>584</v>
      </c>
      <c r="B587" s="30">
        <v>165</v>
      </c>
      <c r="C587" s="24" t="s">
        <v>832</v>
      </c>
      <c r="D587" s="25">
        <v>584</v>
      </c>
      <c r="E587" s="31" t="s">
        <v>1060</v>
      </c>
      <c r="F587" s="23" t="s">
        <v>1061</v>
      </c>
      <c r="G587" s="23"/>
      <c r="H587" s="23" t="s">
        <v>1326</v>
      </c>
    </row>
    <row r="588" spans="1:9">
      <c r="A588" s="22">
        <v>585</v>
      </c>
      <c r="B588" s="25">
        <v>168</v>
      </c>
      <c r="C588" s="24" t="s">
        <v>857</v>
      </c>
      <c r="D588" s="25">
        <v>585</v>
      </c>
      <c r="E588" s="31" t="s">
        <v>1062</v>
      </c>
      <c r="F588" s="23" t="s">
        <v>1063</v>
      </c>
      <c r="G588" s="23"/>
      <c r="H588" s="23" t="s">
        <v>1033</v>
      </c>
    </row>
    <row r="589" spans="1:9">
      <c r="A589" s="22">
        <v>586</v>
      </c>
      <c r="B589" s="30">
        <v>291</v>
      </c>
      <c r="C589" s="24" t="s">
        <v>865</v>
      </c>
      <c r="D589" s="25">
        <v>586</v>
      </c>
      <c r="E589" s="31" t="s">
        <v>1064</v>
      </c>
      <c r="F589" s="23" t="s">
        <v>1065</v>
      </c>
      <c r="G589" s="23"/>
      <c r="H589" s="23" t="s">
        <v>1030</v>
      </c>
    </row>
    <row r="590" spans="1:9">
      <c r="A590" s="22">
        <v>587</v>
      </c>
      <c r="B590" s="122">
        <v>114</v>
      </c>
      <c r="C590" s="29" t="s">
        <v>852</v>
      </c>
      <c r="D590" s="123">
        <v>587</v>
      </c>
      <c r="E590" s="124" t="s">
        <v>1066</v>
      </c>
      <c r="F590" s="26" t="s">
        <v>1067</v>
      </c>
      <c r="G590" s="26"/>
      <c r="H590" s="26" t="s">
        <v>1325</v>
      </c>
    </row>
    <row r="591" spans="1:9">
      <c r="A591" s="22">
        <v>589</v>
      </c>
      <c r="B591" s="30">
        <v>114</v>
      </c>
      <c r="C591" s="24" t="s">
        <v>852</v>
      </c>
      <c r="D591" s="120">
        <v>589</v>
      </c>
      <c r="E591" s="31" t="s">
        <v>1367</v>
      </c>
      <c r="F591" s="23" t="s">
        <v>1368</v>
      </c>
      <c r="G591" s="23"/>
      <c r="H591" s="23" t="s">
        <v>1325</v>
      </c>
    </row>
    <row r="592" spans="1:9">
      <c r="A592" s="22">
        <v>590</v>
      </c>
      <c r="B592" s="30">
        <v>114</v>
      </c>
      <c r="C592" s="24" t="s">
        <v>852</v>
      </c>
      <c r="D592" s="120">
        <v>590</v>
      </c>
      <c r="E592" s="31" t="s">
        <v>1370</v>
      </c>
      <c r="F592" s="23" t="s">
        <v>1371</v>
      </c>
      <c r="G592" s="23"/>
      <c r="H592" s="23" t="s">
        <v>1325</v>
      </c>
    </row>
    <row r="593" spans="1:8">
      <c r="A593" s="22">
        <v>591</v>
      </c>
      <c r="B593" s="30">
        <v>114</v>
      </c>
      <c r="C593" s="24" t="s">
        <v>852</v>
      </c>
      <c r="D593" s="120">
        <v>591</v>
      </c>
      <c r="E593" s="31" t="s">
        <v>1372</v>
      </c>
      <c r="F593" s="23" t="s">
        <v>1373</v>
      </c>
      <c r="G593" s="23"/>
      <c r="H593" s="23" t="s">
        <v>1325</v>
      </c>
    </row>
    <row r="594" spans="1:8" ht="11.4" thickBot="1">
      <c r="A594" s="121">
        <v>592</v>
      </c>
      <c r="B594" s="125">
        <v>114</v>
      </c>
      <c r="C594" s="126" t="s">
        <v>852</v>
      </c>
      <c r="D594" s="127">
        <v>592</v>
      </c>
      <c r="E594" s="128" t="s">
        <v>1374</v>
      </c>
      <c r="F594" s="129" t="s">
        <v>1375</v>
      </c>
      <c r="G594" s="129"/>
      <c r="H594" s="129" t="s">
        <v>1325</v>
      </c>
    </row>
  </sheetData>
  <autoFilter ref="A3:H585"/>
  <phoneticPr fontId="2"/>
  <pageMargins left="0.7" right="0.7" top="0.75" bottom="0.75" header="0.3" footer="0.3"/>
  <pageSetup paperSize="9" scale="5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2"/>
  <sheetViews>
    <sheetView workbookViewId="0">
      <pane ySplit="2" topLeftCell="A3" activePane="bottomLeft" state="frozen"/>
      <selection pane="bottomLeft"/>
    </sheetView>
  </sheetViews>
  <sheetFormatPr defaultColWidth="2" defaultRowHeight="10.8"/>
  <cols>
    <col min="1" max="1" width="9.6640625" style="42" bestFit="1" customWidth="1"/>
    <col min="2" max="2" width="2" style="42"/>
    <col min="3" max="3" width="7.21875" style="42" bestFit="1" customWidth="1"/>
    <col min="4" max="4" width="2" style="42"/>
    <col min="5" max="5" width="16.33203125" style="82" bestFit="1" customWidth="1"/>
    <col min="6" max="6" width="2" style="42"/>
    <col min="7" max="7" width="23.6640625" style="82" bestFit="1" customWidth="1"/>
    <col min="8" max="8" width="2" style="42"/>
    <col min="9" max="9" width="11.6640625" style="42" bestFit="1" customWidth="1"/>
    <col min="10" max="10" width="2" style="42"/>
    <col min="11" max="11" width="9.88671875" style="42" bestFit="1" customWidth="1"/>
    <col min="12" max="12" width="2" style="42"/>
    <col min="13" max="13" width="13.77734375" style="42" bestFit="1" customWidth="1"/>
    <col min="14" max="16384" width="2" style="42"/>
  </cols>
  <sheetData>
    <row r="1" spans="1:13">
      <c r="A1" s="46" t="s">
        <v>0</v>
      </c>
      <c r="C1" s="39" t="s">
        <v>1253</v>
      </c>
      <c r="E1" s="77" t="s">
        <v>1264</v>
      </c>
      <c r="G1" s="77" t="s">
        <v>1265</v>
      </c>
      <c r="I1" s="47" t="s">
        <v>1266</v>
      </c>
      <c r="K1" s="47" t="s">
        <v>8</v>
      </c>
      <c r="M1" s="48" t="s">
        <v>10</v>
      </c>
    </row>
    <row r="2" spans="1:13">
      <c r="A2" s="46" t="s">
        <v>986</v>
      </c>
      <c r="C2" s="39" t="s">
        <v>987</v>
      </c>
      <c r="E2" s="78" t="s">
        <v>1288</v>
      </c>
      <c r="G2" s="78" t="s">
        <v>1289</v>
      </c>
      <c r="I2" s="47" t="s">
        <v>1290</v>
      </c>
      <c r="K2" s="47" t="s">
        <v>1291</v>
      </c>
      <c r="M2" s="48" t="s">
        <v>991</v>
      </c>
    </row>
    <row r="3" spans="1:13">
      <c r="A3" s="42" t="s">
        <v>1212</v>
      </c>
      <c r="C3" s="42" t="s">
        <v>1337</v>
      </c>
      <c r="E3" s="79">
        <v>1</v>
      </c>
      <c r="G3" s="83">
        <v>1</v>
      </c>
      <c r="I3" s="42" t="s">
        <v>1331</v>
      </c>
      <c r="K3" s="42" t="s">
        <v>1334</v>
      </c>
      <c r="M3" s="130">
        <v>202307</v>
      </c>
    </row>
    <row r="4" spans="1:13">
      <c r="A4" s="42" t="s">
        <v>1213</v>
      </c>
      <c r="C4" s="42" t="s">
        <v>1338</v>
      </c>
      <c r="E4" s="80">
        <v>2</v>
      </c>
      <c r="G4" s="84">
        <v>2</v>
      </c>
      <c r="I4" s="42" t="s">
        <v>1332</v>
      </c>
      <c r="K4" s="42" t="s">
        <v>1335</v>
      </c>
      <c r="M4" s="42">
        <v>202308</v>
      </c>
    </row>
    <row r="5" spans="1:13">
      <c r="A5" s="42" t="s">
        <v>1214</v>
      </c>
      <c r="C5" s="42" t="s">
        <v>1339</v>
      </c>
      <c r="E5" s="81">
        <v>3</v>
      </c>
      <c r="G5" s="85">
        <v>3</v>
      </c>
      <c r="I5" s="42" t="s">
        <v>1333</v>
      </c>
      <c r="K5" s="42" t="s">
        <v>1336</v>
      </c>
      <c r="M5" s="42">
        <v>202309</v>
      </c>
    </row>
    <row r="6" spans="1:13">
      <c r="A6" s="42" t="s">
        <v>1215</v>
      </c>
      <c r="C6" s="42" t="s">
        <v>1340</v>
      </c>
      <c r="G6" s="86">
        <v>4</v>
      </c>
      <c r="M6" s="42">
        <v>202310</v>
      </c>
    </row>
    <row r="7" spans="1:13">
      <c r="A7" s="42" t="s">
        <v>1216</v>
      </c>
      <c r="C7" s="42" t="s">
        <v>1341</v>
      </c>
      <c r="G7" s="87">
        <v>5</v>
      </c>
      <c r="M7" s="42">
        <v>202311</v>
      </c>
    </row>
    <row r="8" spans="1:13">
      <c r="A8" s="42" t="s">
        <v>1217</v>
      </c>
      <c r="C8" s="42" t="s">
        <v>1342</v>
      </c>
      <c r="G8" s="88">
        <v>6</v>
      </c>
      <c r="M8" s="42">
        <v>202312</v>
      </c>
    </row>
    <row r="9" spans="1:13">
      <c r="A9" s="42" t="s">
        <v>1218</v>
      </c>
      <c r="C9" s="42" t="s">
        <v>1343</v>
      </c>
      <c r="G9" s="89">
        <v>7</v>
      </c>
      <c r="M9" s="42">
        <v>202401</v>
      </c>
    </row>
    <row r="10" spans="1:13">
      <c r="A10" s="42" t="s">
        <v>1219</v>
      </c>
      <c r="C10" s="42" t="s">
        <v>1344</v>
      </c>
      <c r="G10" s="90">
        <v>8</v>
      </c>
      <c r="M10" s="42">
        <v>202402</v>
      </c>
    </row>
    <row r="11" spans="1:13">
      <c r="A11" s="42" t="s">
        <v>1220</v>
      </c>
      <c r="C11" s="42" t="s">
        <v>1345</v>
      </c>
      <c r="G11" s="91">
        <v>9</v>
      </c>
      <c r="M11" s="42">
        <v>202403</v>
      </c>
    </row>
    <row r="12" spans="1:13">
      <c r="A12" s="42" t="s">
        <v>1221</v>
      </c>
      <c r="C12" s="42" t="s">
        <v>1346</v>
      </c>
      <c r="G12" s="92">
        <v>10</v>
      </c>
    </row>
    <row r="13" spans="1:13">
      <c r="A13" s="42" t="s">
        <v>1222</v>
      </c>
      <c r="C13" s="42" t="s">
        <v>1347</v>
      </c>
    </row>
    <row r="14" spans="1:13">
      <c r="A14" s="42" t="s">
        <v>1223</v>
      </c>
    </row>
    <row r="15" spans="1:13">
      <c r="A15" s="42" t="s">
        <v>1224</v>
      </c>
    </row>
    <row r="16" spans="1:13">
      <c r="A16" s="42" t="s">
        <v>1225</v>
      </c>
    </row>
    <row r="17" spans="1:1">
      <c r="A17" s="42" t="s">
        <v>1226</v>
      </c>
    </row>
    <row r="18" spans="1:1">
      <c r="A18" s="42" t="s">
        <v>997</v>
      </c>
    </row>
    <row r="19" spans="1:1">
      <c r="A19" s="42" t="s">
        <v>1227</v>
      </c>
    </row>
    <row r="20" spans="1:1">
      <c r="A20" s="42" t="s">
        <v>1228</v>
      </c>
    </row>
    <row r="21" spans="1:1">
      <c r="A21" s="42" t="s">
        <v>1057</v>
      </c>
    </row>
    <row r="22" spans="1:1">
      <c r="A22" s="42" t="s">
        <v>1229</v>
      </c>
    </row>
    <row r="23" spans="1:1">
      <c r="A23" s="42" t="s">
        <v>1230</v>
      </c>
    </row>
    <row r="24" spans="1:1">
      <c r="A24" s="42" t="s">
        <v>1231</v>
      </c>
    </row>
    <row r="25" spans="1:1">
      <c r="A25" s="42" t="s">
        <v>1232</v>
      </c>
    </row>
    <row r="26" spans="1:1">
      <c r="A26" s="42" t="s">
        <v>1233</v>
      </c>
    </row>
    <row r="27" spans="1:1">
      <c r="A27" s="42" t="s">
        <v>1234</v>
      </c>
    </row>
    <row r="28" spans="1:1">
      <c r="A28" s="42" t="s">
        <v>1236</v>
      </c>
    </row>
    <row r="29" spans="1:1">
      <c r="A29" s="42" t="s">
        <v>1237</v>
      </c>
    </row>
    <row r="30" spans="1:1">
      <c r="A30" s="42" t="s">
        <v>1238</v>
      </c>
    </row>
    <row r="31" spans="1:1">
      <c r="A31" s="42" t="s">
        <v>1239</v>
      </c>
    </row>
    <row r="32" spans="1:1">
      <c r="A32" s="42" t="s">
        <v>1240</v>
      </c>
    </row>
    <row r="33" spans="1:1">
      <c r="A33" s="42" t="s">
        <v>1241</v>
      </c>
    </row>
    <row r="34" spans="1:1">
      <c r="A34" s="42" t="s">
        <v>1242</v>
      </c>
    </row>
    <row r="35" spans="1:1">
      <c r="A35" s="42" t="s">
        <v>1243</v>
      </c>
    </row>
    <row r="36" spans="1:1">
      <c r="A36" s="42" t="s">
        <v>1249</v>
      </c>
    </row>
    <row r="37" spans="1:1">
      <c r="A37" s="42" t="s">
        <v>1235</v>
      </c>
    </row>
    <row r="38" spans="1:1">
      <c r="A38" s="42" t="s">
        <v>1245</v>
      </c>
    </row>
    <row r="39" spans="1:1">
      <c r="A39" s="42" t="s">
        <v>1246</v>
      </c>
    </row>
    <row r="40" spans="1:1">
      <c r="A40" s="42" t="s">
        <v>1244</v>
      </c>
    </row>
    <row r="41" spans="1:1">
      <c r="A41" s="42" t="s">
        <v>1247</v>
      </c>
    </row>
    <row r="42" spans="1:1">
      <c r="A42" s="42" t="s">
        <v>1248</v>
      </c>
    </row>
  </sheetData>
  <phoneticPr fontId="2"/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91"/>
  <sheetViews>
    <sheetView topLeftCell="A576" workbookViewId="0">
      <selection activeCell="A588" sqref="A588:A591"/>
    </sheetView>
  </sheetViews>
  <sheetFormatPr defaultColWidth="2" defaultRowHeight="10.8"/>
  <cols>
    <col min="1" max="1" width="29.44140625" style="42" bestFit="1" customWidth="1"/>
    <col min="2" max="2" width="2" style="42"/>
    <col min="3" max="3" width="22" style="42" bestFit="1" customWidth="1"/>
    <col min="4" max="16384" width="2" style="42"/>
  </cols>
  <sheetData>
    <row r="1" spans="1:3">
      <c r="A1" s="42" t="s">
        <v>777</v>
      </c>
      <c r="C1" s="42" t="s">
        <v>789</v>
      </c>
    </row>
    <row r="2" spans="1:3">
      <c r="A2" s="42" t="s">
        <v>775</v>
      </c>
      <c r="C2" s="42" t="s">
        <v>789</v>
      </c>
    </row>
    <row r="3" spans="1:3">
      <c r="A3" s="42" t="s">
        <v>773</v>
      </c>
      <c r="C3" s="42" t="s">
        <v>789</v>
      </c>
    </row>
    <row r="4" spans="1:3">
      <c r="A4" s="42" t="s">
        <v>771</v>
      </c>
      <c r="C4" s="42" t="s">
        <v>789</v>
      </c>
    </row>
    <row r="5" spans="1:3">
      <c r="A5" s="42" t="s">
        <v>769</v>
      </c>
      <c r="C5" s="42" t="s">
        <v>789</v>
      </c>
    </row>
    <row r="6" spans="1:3">
      <c r="A6" s="42" t="s">
        <v>767</v>
      </c>
      <c r="C6" s="42" t="s">
        <v>789</v>
      </c>
    </row>
    <row r="7" spans="1:3">
      <c r="A7" s="42" t="s">
        <v>766</v>
      </c>
      <c r="C7" s="42" t="s">
        <v>789</v>
      </c>
    </row>
    <row r="8" spans="1:3">
      <c r="A8" s="42" t="s">
        <v>765</v>
      </c>
      <c r="C8" s="42" t="s">
        <v>789</v>
      </c>
    </row>
    <row r="9" spans="1:3">
      <c r="A9" s="42" t="s">
        <v>763</v>
      </c>
      <c r="C9" s="42" t="s">
        <v>789</v>
      </c>
    </row>
    <row r="10" spans="1:3">
      <c r="A10" s="42" t="s">
        <v>760</v>
      </c>
      <c r="C10" s="42" t="s">
        <v>789</v>
      </c>
    </row>
    <row r="11" spans="1:3">
      <c r="A11" s="42" t="s">
        <v>782</v>
      </c>
      <c r="C11" s="42" t="s">
        <v>789</v>
      </c>
    </row>
    <row r="12" spans="1:3">
      <c r="A12" s="42" t="s">
        <v>758</v>
      </c>
      <c r="C12" s="42" t="s">
        <v>789</v>
      </c>
    </row>
    <row r="13" spans="1:3">
      <c r="A13" s="42" t="s">
        <v>756</v>
      </c>
      <c r="C13" s="42" t="s">
        <v>789</v>
      </c>
    </row>
    <row r="14" spans="1:3">
      <c r="A14" s="42" t="s">
        <v>754</v>
      </c>
      <c r="C14" s="42" t="s">
        <v>789</v>
      </c>
    </row>
    <row r="15" spans="1:3">
      <c r="A15" s="42" t="s">
        <v>753</v>
      </c>
      <c r="C15" s="42" t="s">
        <v>789</v>
      </c>
    </row>
    <row r="16" spans="1:3">
      <c r="A16" s="42" t="s">
        <v>752</v>
      </c>
      <c r="C16" s="42" t="s">
        <v>789</v>
      </c>
    </row>
    <row r="17" spans="1:3">
      <c r="A17" s="42" t="s">
        <v>751</v>
      </c>
      <c r="C17" s="42" t="s">
        <v>789</v>
      </c>
    </row>
    <row r="18" spans="1:3">
      <c r="A18" s="42" t="s">
        <v>749</v>
      </c>
      <c r="C18" s="42" t="s">
        <v>789</v>
      </c>
    </row>
    <row r="19" spans="1:3">
      <c r="A19" s="42" t="s">
        <v>747</v>
      </c>
      <c r="C19" s="42" t="s">
        <v>789</v>
      </c>
    </row>
    <row r="20" spans="1:3">
      <c r="A20" s="42" t="s">
        <v>745</v>
      </c>
      <c r="C20" s="42" t="s">
        <v>789</v>
      </c>
    </row>
    <row r="21" spans="1:3">
      <c r="A21" s="42" t="s">
        <v>743</v>
      </c>
      <c r="C21" s="42" t="s">
        <v>789</v>
      </c>
    </row>
    <row r="22" spans="1:3">
      <c r="A22" s="42" t="s">
        <v>740</v>
      </c>
      <c r="C22" s="42" t="s">
        <v>789</v>
      </c>
    </row>
    <row r="23" spans="1:3">
      <c r="A23" s="42" t="s">
        <v>739</v>
      </c>
      <c r="C23" s="42" t="s">
        <v>789</v>
      </c>
    </row>
    <row r="24" spans="1:3">
      <c r="A24" s="42" t="s">
        <v>737</v>
      </c>
      <c r="C24" s="42" t="s">
        <v>789</v>
      </c>
    </row>
    <row r="25" spans="1:3">
      <c r="A25" s="42" t="s">
        <v>735</v>
      </c>
      <c r="C25" s="42" t="s">
        <v>789</v>
      </c>
    </row>
    <row r="26" spans="1:3">
      <c r="A26" s="42" t="s">
        <v>733</v>
      </c>
      <c r="C26" s="42" t="s">
        <v>789</v>
      </c>
    </row>
    <row r="27" spans="1:3">
      <c r="A27" s="42" t="s">
        <v>730</v>
      </c>
      <c r="C27" s="42" t="s">
        <v>789</v>
      </c>
    </row>
    <row r="28" spans="1:3">
      <c r="A28" s="42" t="s">
        <v>728</v>
      </c>
      <c r="C28" s="42" t="s">
        <v>789</v>
      </c>
    </row>
    <row r="29" spans="1:3">
      <c r="A29" s="42" t="s">
        <v>727</v>
      </c>
      <c r="C29" s="42" t="s">
        <v>789</v>
      </c>
    </row>
    <row r="30" spans="1:3">
      <c r="A30" s="42" t="s">
        <v>726</v>
      </c>
      <c r="C30" s="42" t="s">
        <v>789</v>
      </c>
    </row>
    <row r="31" spans="1:3">
      <c r="A31" s="42" t="s">
        <v>725</v>
      </c>
      <c r="C31" s="42" t="s">
        <v>789</v>
      </c>
    </row>
    <row r="32" spans="1:3">
      <c r="A32" s="42" t="s">
        <v>724</v>
      </c>
      <c r="C32" s="42" t="s">
        <v>789</v>
      </c>
    </row>
    <row r="33" spans="1:3">
      <c r="A33" s="42" t="s">
        <v>723</v>
      </c>
      <c r="C33" s="42" t="s">
        <v>789</v>
      </c>
    </row>
    <row r="34" spans="1:3">
      <c r="A34" s="42" t="s">
        <v>722</v>
      </c>
      <c r="C34" s="42" t="s">
        <v>789</v>
      </c>
    </row>
    <row r="35" spans="1:3">
      <c r="A35" s="42" t="s">
        <v>718</v>
      </c>
      <c r="C35" s="42" t="s">
        <v>789</v>
      </c>
    </row>
    <row r="36" spans="1:3">
      <c r="A36" s="42" t="s">
        <v>716</v>
      </c>
      <c r="C36" s="42" t="s">
        <v>789</v>
      </c>
    </row>
    <row r="37" spans="1:3">
      <c r="A37" s="42" t="s">
        <v>715</v>
      </c>
      <c r="C37" s="42" t="s">
        <v>789</v>
      </c>
    </row>
    <row r="38" spans="1:3">
      <c r="A38" s="42" t="s">
        <v>714</v>
      </c>
      <c r="C38" s="42" t="s">
        <v>789</v>
      </c>
    </row>
    <row r="39" spans="1:3">
      <c r="A39" s="42" t="s">
        <v>713</v>
      </c>
      <c r="C39" s="42" t="s">
        <v>789</v>
      </c>
    </row>
    <row r="40" spans="1:3">
      <c r="A40" s="42" t="s">
        <v>712</v>
      </c>
      <c r="C40" s="42" t="s">
        <v>789</v>
      </c>
    </row>
    <row r="41" spans="1:3">
      <c r="A41" s="42" t="s">
        <v>711</v>
      </c>
      <c r="C41" s="42" t="s">
        <v>789</v>
      </c>
    </row>
    <row r="42" spans="1:3">
      <c r="A42" s="42" t="s">
        <v>708</v>
      </c>
      <c r="C42" s="42" t="s">
        <v>789</v>
      </c>
    </row>
    <row r="43" spans="1:3">
      <c r="A43" s="42" t="s">
        <v>706</v>
      </c>
      <c r="C43" s="42" t="s">
        <v>789</v>
      </c>
    </row>
    <row r="44" spans="1:3">
      <c r="A44" s="42" t="s">
        <v>703</v>
      </c>
      <c r="C44" s="42" t="s">
        <v>789</v>
      </c>
    </row>
    <row r="45" spans="1:3">
      <c r="A45" s="42" t="s">
        <v>701</v>
      </c>
      <c r="C45" s="42" t="s">
        <v>789</v>
      </c>
    </row>
    <row r="46" spans="1:3">
      <c r="A46" s="42" t="s">
        <v>699</v>
      </c>
      <c r="C46" s="42" t="s">
        <v>789</v>
      </c>
    </row>
    <row r="47" spans="1:3">
      <c r="A47" s="42" t="s">
        <v>697</v>
      </c>
      <c r="C47" s="42" t="s">
        <v>789</v>
      </c>
    </row>
    <row r="48" spans="1:3">
      <c r="A48" s="42" t="s">
        <v>695</v>
      </c>
      <c r="C48" s="42" t="s">
        <v>789</v>
      </c>
    </row>
    <row r="49" spans="1:3">
      <c r="A49" s="42" t="s">
        <v>693</v>
      </c>
      <c r="C49" s="42" t="s">
        <v>789</v>
      </c>
    </row>
    <row r="50" spans="1:3">
      <c r="A50" s="42" t="s">
        <v>691</v>
      </c>
      <c r="C50" s="42" t="s">
        <v>789</v>
      </c>
    </row>
    <row r="51" spans="1:3">
      <c r="A51" s="42" t="s">
        <v>731</v>
      </c>
      <c r="C51" s="42" t="s">
        <v>789</v>
      </c>
    </row>
    <row r="52" spans="1:3">
      <c r="A52" s="42" t="s">
        <v>790</v>
      </c>
      <c r="C52" s="42" t="s">
        <v>789</v>
      </c>
    </row>
    <row r="53" spans="1:3">
      <c r="A53" s="42" t="s">
        <v>791</v>
      </c>
      <c r="C53" s="42" t="s">
        <v>789</v>
      </c>
    </row>
    <row r="54" spans="1:3">
      <c r="A54" s="42" t="s">
        <v>688</v>
      </c>
      <c r="C54" s="42" t="s">
        <v>852</v>
      </c>
    </row>
    <row r="55" spans="1:3">
      <c r="A55" s="42" t="s">
        <v>793</v>
      </c>
      <c r="C55" s="42" t="s">
        <v>792</v>
      </c>
    </row>
    <row r="56" spans="1:3">
      <c r="A56" s="42" t="s">
        <v>686</v>
      </c>
      <c r="C56" s="42" t="s">
        <v>792</v>
      </c>
    </row>
    <row r="57" spans="1:3">
      <c r="A57" s="42" t="s">
        <v>685</v>
      </c>
      <c r="C57" s="42" t="s">
        <v>792</v>
      </c>
    </row>
    <row r="58" spans="1:3">
      <c r="A58" s="42" t="s">
        <v>684</v>
      </c>
      <c r="C58" s="42" t="s">
        <v>792</v>
      </c>
    </row>
    <row r="59" spans="1:3">
      <c r="A59" s="42" t="s">
        <v>683</v>
      </c>
      <c r="C59" s="42" t="s">
        <v>792</v>
      </c>
    </row>
    <row r="60" spans="1:3">
      <c r="A60" s="42" t="s">
        <v>682</v>
      </c>
      <c r="C60" s="42" t="s">
        <v>792</v>
      </c>
    </row>
    <row r="61" spans="1:3">
      <c r="A61" s="42" t="s">
        <v>681</v>
      </c>
      <c r="C61" s="42" t="s">
        <v>792</v>
      </c>
    </row>
    <row r="62" spans="1:3">
      <c r="A62" s="42" t="s">
        <v>679</v>
      </c>
      <c r="C62" s="42" t="s">
        <v>792</v>
      </c>
    </row>
    <row r="63" spans="1:3">
      <c r="A63" s="42" t="s">
        <v>794</v>
      </c>
      <c r="C63" s="42" t="s">
        <v>792</v>
      </c>
    </row>
    <row r="64" spans="1:3">
      <c r="A64" s="42" t="s">
        <v>677</v>
      </c>
      <c r="C64" s="42" t="s">
        <v>792</v>
      </c>
    </row>
    <row r="65" spans="1:3">
      <c r="A65" s="42" t="s">
        <v>676</v>
      </c>
      <c r="C65" s="42" t="s">
        <v>792</v>
      </c>
    </row>
    <row r="66" spans="1:3">
      <c r="A66" s="42" t="s">
        <v>675</v>
      </c>
      <c r="C66" s="42" t="s">
        <v>792</v>
      </c>
    </row>
    <row r="67" spans="1:3">
      <c r="A67" s="42" t="s">
        <v>674</v>
      </c>
      <c r="C67" s="42" t="s">
        <v>792</v>
      </c>
    </row>
    <row r="68" spans="1:3">
      <c r="A68" s="42" t="s">
        <v>673</v>
      </c>
      <c r="C68" s="42" t="s">
        <v>792</v>
      </c>
    </row>
    <row r="69" spans="1:3">
      <c r="A69" s="42" t="s">
        <v>672</v>
      </c>
      <c r="C69" s="42" t="s">
        <v>792</v>
      </c>
    </row>
    <row r="70" spans="1:3">
      <c r="A70" s="42" t="s">
        <v>671</v>
      </c>
      <c r="C70" s="42" t="s">
        <v>792</v>
      </c>
    </row>
    <row r="71" spans="1:3">
      <c r="A71" s="42" t="s">
        <v>670</v>
      </c>
      <c r="C71" s="42" t="s">
        <v>792</v>
      </c>
    </row>
    <row r="72" spans="1:3">
      <c r="A72" s="42" t="s">
        <v>668</v>
      </c>
      <c r="C72" s="42" t="s">
        <v>792</v>
      </c>
    </row>
    <row r="73" spans="1:3">
      <c r="A73" s="42" t="s">
        <v>666</v>
      </c>
      <c r="C73" s="42" t="s">
        <v>792</v>
      </c>
    </row>
    <row r="74" spans="1:3">
      <c r="A74" s="42" t="s">
        <v>664</v>
      </c>
      <c r="C74" s="42" t="s">
        <v>792</v>
      </c>
    </row>
    <row r="75" spans="1:3">
      <c r="A75" s="42" t="s">
        <v>662</v>
      </c>
      <c r="C75" s="42" t="s">
        <v>792</v>
      </c>
    </row>
    <row r="76" spans="1:3">
      <c r="A76" s="42" t="s">
        <v>660</v>
      </c>
      <c r="C76" s="42" t="s">
        <v>792</v>
      </c>
    </row>
    <row r="77" spans="1:3">
      <c r="A77" s="42" t="s">
        <v>659</v>
      </c>
      <c r="C77" s="42" t="s">
        <v>792</v>
      </c>
    </row>
    <row r="78" spans="1:3">
      <c r="A78" s="42" t="s">
        <v>658</v>
      </c>
      <c r="C78" s="42" t="s">
        <v>792</v>
      </c>
    </row>
    <row r="79" spans="1:3">
      <c r="A79" s="42" t="s">
        <v>657</v>
      </c>
      <c r="C79" s="42" t="s">
        <v>792</v>
      </c>
    </row>
    <row r="80" spans="1:3">
      <c r="A80" s="42" t="s">
        <v>795</v>
      </c>
      <c r="C80" s="42" t="s">
        <v>792</v>
      </c>
    </row>
    <row r="81" spans="1:3">
      <c r="A81" s="42" t="s">
        <v>656</v>
      </c>
      <c r="C81" s="42" t="s">
        <v>792</v>
      </c>
    </row>
    <row r="82" spans="1:3">
      <c r="A82" s="42" t="s">
        <v>655</v>
      </c>
      <c r="C82" s="42" t="s">
        <v>792</v>
      </c>
    </row>
    <row r="83" spans="1:3">
      <c r="A83" s="42" t="s">
        <v>654</v>
      </c>
      <c r="C83" s="42" t="s">
        <v>792</v>
      </c>
    </row>
    <row r="84" spans="1:3">
      <c r="A84" s="42" t="s">
        <v>653</v>
      </c>
      <c r="C84" s="42" t="s">
        <v>792</v>
      </c>
    </row>
    <row r="85" spans="1:3">
      <c r="A85" s="42" t="s">
        <v>652</v>
      </c>
      <c r="C85" s="42" t="s">
        <v>792</v>
      </c>
    </row>
    <row r="86" spans="1:3">
      <c r="A86" s="42" t="s">
        <v>650</v>
      </c>
      <c r="C86" s="42" t="s">
        <v>792</v>
      </c>
    </row>
    <row r="87" spans="1:3">
      <c r="A87" s="42" t="s">
        <v>648</v>
      </c>
      <c r="C87" s="42" t="s">
        <v>792</v>
      </c>
    </row>
    <row r="88" spans="1:3">
      <c r="A88" s="42" t="s">
        <v>646</v>
      </c>
      <c r="C88" s="42" t="s">
        <v>792</v>
      </c>
    </row>
    <row r="89" spans="1:3">
      <c r="A89" s="42" t="s">
        <v>796</v>
      </c>
      <c r="C89" s="42" t="s">
        <v>792</v>
      </c>
    </row>
    <row r="90" spans="1:3">
      <c r="A90" s="42" t="s">
        <v>644</v>
      </c>
      <c r="C90" s="42" t="s">
        <v>792</v>
      </c>
    </row>
    <row r="91" spans="1:3">
      <c r="A91" s="42" t="s">
        <v>643</v>
      </c>
      <c r="C91" s="42" t="s">
        <v>792</v>
      </c>
    </row>
    <row r="92" spans="1:3">
      <c r="A92" s="42" t="s">
        <v>642</v>
      </c>
      <c r="C92" s="42" t="s">
        <v>792</v>
      </c>
    </row>
    <row r="93" spans="1:3">
      <c r="A93" s="42" t="s">
        <v>641</v>
      </c>
      <c r="C93" s="42" t="s">
        <v>792</v>
      </c>
    </row>
    <row r="94" spans="1:3">
      <c r="A94" s="42" t="s">
        <v>640</v>
      </c>
      <c r="C94" s="42" t="s">
        <v>792</v>
      </c>
    </row>
    <row r="95" spans="1:3">
      <c r="A95" s="42" t="s">
        <v>639</v>
      </c>
      <c r="C95" s="42" t="s">
        <v>792</v>
      </c>
    </row>
    <row r="96" spans="1:3">
      <c r="A96" s="42" t="s">
        <v>638</v>
      </c>
      <c r="C96" s="42" t="s">
        <v>792</v>
      </c>
    </row>
    <row r="97" spans="1:3">
      <c r="A97" s="42" t="s">
        <v>637</v>
      </c>
      <c r="C97" s="42" t="s">
        <v>792</v>
      </c>
    </row>
    <row r="98" spans="1:3">
      <c r="A98" s="42" t="s">
        <v>636</v>
      </c>
      <c r="C98" s="42" t="s">
        <v>792</v>
      </c>
    </row>
    <row r="99" spans="1:3">
      <c r="A99" s="42" t="s">
        <v>635</v>
      </c>
      <c r="C99" s="42" t="s">
        <v>792</v>
      </c>
    </row>
    <row r="100" spans="1:3">
      <c r="A100" s="42" t="s">
        <v>634</v>
      </c>
      <c r="C100" s="42" t="s">
        <v>792</v>
      </c>
    </row>
    <row r="101" spans="1:3">
      <c r="A101" s="42" t="s">
        <v>633</v>
      </c>
      <c r="C101" s="42" t="s">
        <v>792</v>
      </c>
    </row>
    <row r="102" spans="1:3">
      <c r="A102" s="42" t="s">
        <v>631</v>
      </c>
      <c r="C102" s="42" t="s">
        <v>792</v>
      </c>
    </row>
    <row r="103" spans="1:3">
      <c r="A103" s="42" t="s">
        <v>797</v>
      </c>
      <c r="C103" s="42" t="s">
        <v>792</v>
      </c>
    </row>
    <row r="104" spans="1:3">
      <c r="A104" s="42" t="s">
        <v>798</v>
      </c>
      <c r="C104" s="42" t="s">
        <v>792</v>
      </c>
    </row>
    <row r="105" spans="1:3">
      <c r="A105" s="42" t="s">
        <v>799</v>
      </c>
      <c r="C105" s="42" t="s">
        <v>792</v>
      </c>
    </row>
    <row r="106" spans="1:3">
      <c r="A106" s="42" t="s">
        <v>605</v>
      </c>
      <c r="C106" s="42" t="s">
        <v>800</v>
      </c>
    </row>
    <row r="107" spans="1:3">
      <c r="A107" s="42" t="s">
        <v>603</v>
      </c>
      <c r="C107" s="42" t="s">
        <v>800</v>
      </c>
    </row>
    <row r="108" spans="1:3">
      <c r="A108" s="42" t="s">
        <v>602</v>
      </c>
      <c r="C108" s="42" t="s">
        <v>800</v>
      </c>
    </row>
    <row r="109" spans="1:3">
      <c r="A109" s="42" t="s">
        <v>601</v>
      </c>
      <c r="C109" s="42" t="s">
        <v>800</v>
      </c>
    </row>
    <row r="110" spans="1:3">
      <c r="A110" s="42" t="s">
        <v>600</v>
      </c>
      <c r="C110" s="42" t="s">
        <v>800</v>
      </c>
    </row>
    <row r="111" spans="1:3">
      <c r="A111" s="42" t="s">
        <v>599</v>
      </c>
      <c r="C111" s="42" t="s">
        <v>800</v>
      </c>
    </row>
    <row r="112" spans="1:3">
      <c r="A112" s="42" t="s">
        <v>598</v>
      </c>
      <c r="C112" s="42" t="s">
        <v>800</v>
      </c>
    </row>
    <row r="113" spans="1:3">
      <c r="A113" s="42" t="s">
        <v>596</v>
      </c>
      <c r="C113" s="42" t="s">
        <v>800</v>
      </c>
    </row>
    <row r="114" spans="1:3">
      <c r="A114" s="42" t="s">
        <v>595</v>
      </c>
      <c r="C114" s="42" t="s">
        <v>800</v>
      </c>
    </row>
    <row r="115" spans="1:3">
      <c r="A115" s="42" t="s">
        <v>593</v>
      </c>
      <c r="C115" s="42" t="s">
        <v>800</v>
      </c>
    </row>
    <row r="116" spans="1:3">
      <c r="A116" s="42" t="s">
        <v>591</v>
      </c>
      <c r="C116" s="42" t="s">
        <v>800</v>
      </c>
    </row>
    <row r="117" spans="1:3">
      <c r="A117" s="42" t="s">
        <v>589</v>
      </c>
      <c r="C117" s="42" t="s">
        <v>800</v>
      </c>
    </row>
    <row r="118" spans="1:3">
      <c r="A118" s="42" t="s">
        <v>587</v>
      </c>
      <c r="C118" s="42" t="s">
        <v>800</v>
      </c>
    </row>
    <row r="119" spans="1:3">
      <c r="A119" s="42" t="s">
        <v>585</v>
      </c>
      <c r="C119" s="42" t="s">
        <v>800</v>
      </c>
    </row>
    <row r="120" spans="1:3">
      <c r="A120" s="42" t="s">
        <v>583</v>
      </c>
      <c r="C120" s="42" t="s">
        <v>800</v>
      </c>
    </row>
    <row r="121" spans="1:3">
      <c r="A121" s="42" t="s">
        <v>582</v>
      </c>
      <c r="C121" s="42" t="s">
        <v>800</v>
      </c>
    </row>
    <row r="122" spans="1:3">
      <c r="A122" s="42" t="s">
        <v>581</v>
      </c>
      <c r="C122" s="42" t="s">
        <v>800</v>
      </c>
    </row>
    <row r="123" spans="1:3">
      <c r="A123" s="42" t="s">
        <v>580</v>
      </c>
      <c r="C123" s="42" t="s">
        <v>800</v>
      </c>
    </row>
    <row r="124" spans="1:3">
      <c r="A124" s="42" t="s">
        <v>579</v>
      </c>
      <c r="C124" s="42" t="s">
        <v>800</v>
      </c>
    </row>
    <row r="125" spans="1:3">
      <c r="A125" s="42" t="s">
        <v>577</v>
      </c>
      <c r="C125" s="42" t="s">
        <v>800</v>
      </c>
    </row>
    <row r="126" spans="1:3">
      <c r="A126" s="42" t="s">
        <v>575</v>
      </c>
      <c r="C126" s="42" t="s">
        <v>800</v>
      </c>
    </row>
    <row r="127" spans="1:3">
      <c r="A127" s="42" t="s">
        <v>573</v>
      </c>
      <c r="C127" s="42" t="s">
        <v>800</v>
      </c>
    </row>
    <row r="128" spans="1:3">
      <c r="A128" s="42" t="s">
        <v>571</v>
      </c>
      <c r="C128" s="42" t="s">
        <v>848</v>
      </c>
    </row>
    <row r="129" spans="1:3">
      <c r="A129" s="42" t="s">
        <v>569</v>
      </c>
      <c r="C129" s="42" t="s">
        <v>848</v>
      </c>
    </row>
    <row r="130" spans="1:3">
      <c r="A130" s="42" t="s">
        <v>566</v>
      </c>
      <c r="C130" s="42" t="s">
        <v>848</v>
      </c>
    </row>
    <row r="131" spans="1:3">
      <c r="A131" s="42" t="s">
        <v>801</v>
      </c>
      <c r="C131" s="42" t="s">
        <v>800</v>
      </c>
    </row>
    <row r="132" spans="1:3">
      <c r="A132" s="42" t="s">
        <v>802</v>
      </c>
      <c r="C132" s="42" t="s">
        <v>800</v>
      </c>
    </row>
    <row r="133" spans="1:3">
      <c r="A133" s="42" t="s">
        <v>803</v>
      </c>
      <c r="C133" s="42" t="s">
        <v>800</v>
      </c>
    </row>
    <row r="134" spans="1:3">
      <c r="A134" s="42" t="s">
        <v>564</v>
      </c>
      <c r="C134" s="42" t="s">
        <v>804</v>
      </c>
    </row>
    <row r="135" spans="1:3">
      <c r="A135" s="42" t="s">
        <v>563</v>
      </c>
      <c r="C135" s="42" t="s">
        <v>804</v>
      </c>
    </row>
    <row r="136" spans="1:3">
      <c r="A136" s="42" t="s">
        <v>562</v>
      </c>
      <c r="C136" s="42" t="s">
        <v>804</v>
      </c>
    </row>
    <row r="137" spans="1:3">
      <c r="A137" s="42" t="s">
        <v>561</v>
      </c>
      <c r="C137" s="42" t="s">
        <v>804</v>
      </c>
    </row>
    <row r="138" spans="1:3">
      <c r="A138" s="42" t="s">
        <v>559</v>
      </c>
      <c r="C138" s="42" t="s">
        <v>804</v>
      </c>
    </row>
    <row r="139" spans="1:3">
      <c r="A139" s="42" t="s">
        <v>557</v>
      </c>
      <c r="C139" s="42" t="s">
        <v>804</v>
      </c>
    </row>
    <row r="140" spans="1:3">
      <c r="A140" s="42" t="s">
        <v>555</v>
      </c>
      <c r="C140" s="42" t="s">
        <v>804</v>
      </c>
    </row>
    <row r="141" spans="1:3">
      <c r="A141" s="42" t="s">
        <v>805</v>
      </c>
      <c r="C141" s="42" t="s">
        <v>804</v>
      </c>
    </row>
    <row r="142" spans="1:3">
      <c r="A142" s="42" t="s">
        <v>553</v>
      </c>
      <c r="C142" s="42" t="s">
        <v>804</v>
      </c>
    </row>
    <row r="143" spans="1:3">
      <c r="A143" s="42" t="s">
        <v>552</v>
      </c>
      <c r="C143" s="42" t="s">
        <v>804</v>
      </c>
    </row>
    <row r="144" spans="1:3">
      <c r="A144" s="42" t="s">
        <v>551</v>
      </c>
      <c r="C144" s="42" t="s">
        <v>804</v>
      </c>
    </row>
    <row r="145" spans="1:3">
      <c r="A145" s="42" t="s">
        <v>550</v>
      </c>
      <c r="C145" s="42" t="s">
        <v>804</v>
      </c>
    </row>
    <row r="146" spans="1:3">
      <c r="A146" s="42" t="s">
        <v>549</v>
      </c>
      <c r="C146" s="42" t="s">
        <v>804</v>
      </c>
    </row>
    <row r="147" spans="1:3">
      <c r="A147" s="42" t="s">
        <v>548</v>
      </c>
      <c r="C147" s="42" t="s">
        <v>804</v>
      </c>
    </row>
    <row r="148" spans="1:3">
      <c r="A148" s="42" t="s">
        <v>547</v>
      </c>
      <c r="C148" s="42" t="s">
        <v>804</v>
      </c>
    </row>
    <row r="149" spans="1:3">
      <c r="A149" s="42" t="s">
        <v>806</v>
      </c>
      <c r="C149" s="42" t="s">
        <v>804</v>
      </c>
    </row>
    <row r="150" spans="1:3">
      <c r="A150" s="42" t="s">
        <v>545</v>
      </c>
      <c r="C150" s="42" t="s">
        <v>804</v>
      </c>
    </row>
    <row r="151" spans="1:3">
      <c r="A151" s="42" t="s">
        <v>544</v>
      </c>
      <c r="C151" s="42" t="s">
        <v>804</v>
      </c>
    </row>
    <row r="152" spans="1:3">
      <c r="A152" s="42" t="s">
        <v>543</v>
      </c>
      <c r="C152" s="42" t="s">
        <v>804</v>
      </c>
    </row>
    <row r="153" spans="1:3">
      <c r="A153" s="42" t="s">
        <v>541</v>
      </c>
      <c r="C153" s="42" t="s">
        <v>804</v>
      </c>
    </row>
    <row r="154" spans="1:3">
      <c r="A154" s="42" t="s">
        <v>540</v>
      </c>
      <c r="C154" s="42" t="s">
        <v>804</v>
      </c>
    </row>
    <row r="155" spans="1:3">
      <c r="A155" s="42" t="s">
        <v>539</v>
      </c>
      <c r="C155" s="42" t="s">
        <v>804</v>
      </c>
    </row>
    <row r="156" spans="1:3">
      <c r="A156" s="42" t="s">
        <v>538</v>
      </c>
      <c r="C156" s="42" t="s">
        <v>804</v>
      </c>
    </row>
    <row r="157" spans="1:3">
      <c r="A157" s="42" t="s">
        <v>537</v>
      </c>
      <c r="C157" s="42" t="s">
        <v>804</v>
      </c>
    </row>
    <row r="158" spans="1:3">
      <c r="A158" s="42" t="s">
        <v>807</v>
      </c>
      <c r="C158" s="42" t="s">
        <v>804</v>
      </c>
    </row>
    <row r="159" spans="1:3">
      <c r="A159" s="42" t="s">
        <v>536</v>
      </c>
      <c r="C159" s="42" t="s">
        <v>804</v>
      </c>
    </row>
    <row r="160" spans="1:3">
      <c r="A160" s="42" t="s">
        <v>534</v>
      </c>
      <c r="C160" s="42" t="s">
        <v>804</v>
      </c>
    </row>
    <row r="161" spans="1:3">
      <c r="A161" s="42" t="s">
        <v>532</v>
      </c>
      <c r="C161" s="42" t="s">
        <v>804</v>
      </c>
    </row>
    <row r="162" spans="1:3">
      <c r="A162" s="42" t="s">
        <v>531</v>
      </c>
      <c r="C162" s="42" t="s">
        <v>804</v>
      </c>
    </row>
    <row r="163" spans="1:3">
      <c r="A163" s="42" t="s">
        <v>529</v>
      </c>
      <c r="C163" s="42" t="s">
        <v>804</v>
      </c>
    </row>
    <row r="164" spans="1:3">
      <c r="A164" s="42" t="s">
        <v>527</v>
      </c>
      <c r="C164" s="42" t="s">
        <v>804</v>
      </c>
    </row>
    <row r="165" spans="1:3">
      <c r="A165" s="42" t="s">
        <v>525</v>
      </c>
      <c r="C165" s="42" t="s">
        <v>804</v>
      </c>
    </row>
    <row r="166" spans="1:3">
      <c r="A166" s="42" t="s">
        <v>523</v>
      </c>
      <c r="C166" s="42" t="s">
        <v>804</v>
      </c>
    </row>
    <row r="167" spans="1:3">
      <c r="A167" s="42" t="s">
        <v>521</v>
      </c>
      <c r="C167" s="42" t="s">
        <v>804</v>
      </c>
    </row>
    <row r="168" spans="1:3">
      <c r="A168" s="42" t="s">
        <v>519</v>
      </c>
      <c r="C168" s="42" t="s">
        <v>804</v>
      </c>
    </row>
    <row r="169" spans="1:3">
      <c r="A169" s="42" t="s">
        <v>517</v>
      </c>
      <c r="C169" s="42" t="s">
        <v>804</v>
      </c>
    </row>
    <row r="170" spans="1:3">
      <c r="A170" s="42" t="s">
        <v>516</v>
      </c>
      <c r="C170" s="42" t="s">
        <v>804</v>
      </c>
    </row>
    <row r="171" spans="1:3">
      <c r="A171" s="42" t="s">
        <v>514</v>
      </c>
      <c r="C171" s="42" t="s">
        <v>804</v>
      </c>
    </row>
    <row r="172" spans="1:3">
      <c r="A172" s="42" t="s">
        <v>513</v>
      </c>
      <c r="C172" s="42" t="s">
        <v>804</v>
      </c>
    </row>
    <row r="173" spans="1:3">
      <c r="A173" s="42" t="s">
        <v>511</v>
      </c>
      <c r="C173" s="42" t="s">
        <v>804</v>
      </c>
    </row>
    <row r="174" spans="1:3">
      <c r="A174" s="42" t="s">
        <v>509</v>
      </c>
      <c r="C174" s="42" t="s">
        <v>804</v>
      </c>
    </row>
    <row r="175" spans="1:3">
      <c r="A175" s="42" t="s">
        <v>508</v>
      </c>
      <c r="C175" s="42" t="s">
        <v>804</v>
      </c>
    </row>
    <row r="176" spans="1:3">
      <c r="A176" s="42" t="s">
        <v>507</v>
      </c>
      <c r="C176" s="42" t="s">
        <v>804</v>
      </c>
    </row>
    <row r="177" spans="1:3">
      <c r="A177" s="42" t="s">
        <v>506</v>
      </c>
      <c r="C177" s="42" t="s">
        <v>804</v>
      </c>
    </row>
    <row r="178" spans="1:3">
      <c r="A178" s="42" t="s">
        <v>505</v>
      </c>
      <c r="C178" s="42" t="s">
        <v>804</v>
      </c>
    </row>
    <row r="179" spans="1:3">
      <c r="A179" s="42" t="s">
        <v>503</v>
      </c>
      <c r="C179" s="42" t="s">
        <v>804</v>
      </c>
    </row>
    <row r="180" spans="1:3">
      <c r="A180" s="42" t="s">
        <v>501</v>
      </c>
      <c r="C180" s="42" t="s">
        <v>804</v>
      </c>
    </row>
    <row r="181" spans="1:3">
      <c r="A181" s="42" t="s">
        <v>499</v>
      </c>
      <c r="C181" s="42" t="s">
        <v>804</v>
      </c>
    </row>
    <row r="182" spans="1:3">
      <c r="A182" s="42" t="s">
        <v>498</v>
      </c>
      <c r="C182" s="42" t="s">
        <v>804</v>
      </c>
    </row>
    <row r="183" spans="1:3">
      <c r="A183" s="42" t="s">
        <v>496</v>
      </c>
      <c r="C183" s="42" t="s">
        <v>804</v>
      </c>
    </row>
    <row r="184" spans="1:3">
      <c r="A184" s="42" t="s">
        <v>495</v>
      </c>
      <c r="C184" s="42" t="s">
        <v>804</v>
      </c>
    </row>
    <row r="185" spans="1:3">
      <c r="A185" s="42" t="s">
        <v>494</v>
      </c>
      <c r="C185" s="42" t="s">
        <v>804</v>
      </c>
    </row>
    <row r="186" spans="1:3">
      <c r="A186" s="42" t="s">
        <v>492</v>
      </c>
      <c r="C186" s="42" t="s">
        <v>804</v>
      </c>
    </row>
    <row r="187" spans="1:3">
      <c r="A187" s="42" t="s">
        <v>490</v>
      </c>
      <c r="C187" s="42" t="s">
        <v>804</v>
      </c>
    </row>
    <row r="188" spans="1:3">
      <c r="A188" s="42" t="s">
        <v>488</v>
      </c>
      <c r="C188" s="42" t="s">
        <v>804</v>
      </c>
    </row>
    <row r="189" spans="1:3">
      <c r="A189" s="42" t="s">
        <v>486</v>
      </c>
      <c r="C189" s="42" t="s">
        <v>804</v>
      </c>
    </row>
    <row r="190" spans="1:3">
      <c r="A190" s="42" t="s">
        <v>484</v>
      </c>
      <c r="C190" s="42" t="s">
        <v>804</v>
      </c>
    </row>
    <row r="191" spans="1:3">
      <c r="A191" s="42" t="s">
        <v>482</v>
      </c>
      <c r="C191" s="42" t="s">
        <v>804</v>
      </c>
    </row>
    <row r="192" spans="1:3">
      <c r="A192" s="42" t="s">
        <v>481</v>
      </c>
      <c r="C192" s="42" t="s">
        <v>804</v>
      </c>
    </row>
    <row r="193" spans="1:3">
      <c r="A193" s="42" t="s">
        <v>480</v>
      </c>
      <c r="C193" s="42" t="s">
        <v>804</v>
      </c>
    </row>
    <row r="194" spans="1:3">
      <c r="A194" s="42" t="s">
        <v>479</v>
      </c>
      <c r="C194" s="42" t="s">
        <v>804</v>
      </c>
    </row>
    <row r="195" spans="1:3">
      <c r="A195" s="42" t="s">
        <v>808</v>
      </c>
      <c r="C195" s="42" t="s">
        <v>804</v>
      </c>
    </row>
    <row r="196" spans="1:3">
      <c r="A196" s="42" t="s">
        <v>809</v>
      </c>
      <c r="C196" s="42" t="s">
        <v>804</v>
      </c>
    </row>
    <row r="197" spans="1:3">
      <c r="A197" s="42" t="s">
        <v>810</v>
      </c>
      <c r="C197" s="42" t="s">
        <v>804</v>
      </c>
    </row>
    <row r="198" spans="1:3">
      <c r="A198" s="42" t="s">
        <v>812</v>
      </c>
      <c r="C198" s="42" t="s">
        <v>811</v>
      </c>
    </row>
    <row r="199" spans="1:3">
      <c r="A199" s="42" t="s">
        <v>478</v>
      </c>
      <c r="C199" s="42" t="s">
        <v>811</v>
      </c>
    </row>
    <row r="200" spans="1:3">
      <c r="A200" s="42" t="s">
        <v>477</v>
      </c>
      <c r="C200" s="42" t="s">
        <v>811</v>
      </c>
    </row>
    <row r="201" spans="1:3">
      <c r="A201" s="42" t="s">
        <v>476</v>
      </c>
      <c r="C201" s="42" t="s">
        <v>811</v>
      </c>
    </row>
    <row r="202" spans="1:3">
      <c r="A202" s="42" t="s">
        <v>475</v>
      </c>
      <c r="C202" s="42" t="s">
        <v>811</v>
      </c>
    </row>
    <row r="203" spans="1:3">
      <c r="A203" s="42" t="s">
        <v>474</v>
      </c>
      <c r="C203" s="42" t="s">
        <v>811</v>
      </c>
    </row>
    <row r="204" spans="1:3">
      <c r="A204" s="42" t="s">
        <v>813</v>
      </c>
      <c r="C204" s="42" t="s">
        <v>811</v>
      </c>
    </row>
    <row r="205" spans="1:3">
      <c r="A205" s="42" t="s">
        <v>472</v>
      </c>
      <c r="C205" s="42" t="s">
        <v>811</v>
      </c>
    </row>
    <row r="206" spans="1:3">
      <c r="A206" s="42" t="s">
        <v>471</v>
      </c>
      <c r="C206" s="42" t="s">
        <v>811</v>
      </c>
    </row>
    <row r="207" spans="1:3">
      <c r="A207" s="42" t="s">
        <v>470</v>
      </c>
      <c r="C207" s="42" t="s">
        <v>811</v>
      </c>
    </row>
    <row r="208" spans="1:3">
      <c r="A208" s="42" t="s">
        <v>469</v>
      </c>
      <c r="C208" s="42" t="s">
        <v>811</v>
      </c>
    </row>
    <row r="209" spans="1:3">
      <c r="A209" s="42" t="s">
        <v>468</v>
      </c>
      <c r="C209" s="42" t="s">
        <v>811</v>
      </c>
    </row>
    <row r="210" spans="1:3">
      <c r="A210" s="42" t="s">
        <v>467</v>
      </c>
      <c r="C210" s="42" t="s">
        <v>811</v>
      </c>
    </row>
    <row r="211" spans="1:3">
      <c r="A211" s="42" t="s">
        <v>466</v>
      </c>
      <c r="C211" s="42" t="s">
        <v>811</v>
      </c>
    </row>
    <row r="212" spans="1:3">
      <c r="A212" s="42" t="s">
        <v>465</v>
      </c>
      <c r="C212" s="42" t="s">
        <v>811</v>
      </c>
    </row>
    <row r="213" spans="1:3">
      <c r="A213" s="42" t="s">
        <v>464</v>
      </c>
      <c r="C213" s="42" t="s">
        <v>811</v>
      </c>
    </row>
    <row r="214" spans="1:3">
      <c r="A214" s="42" t="s">
        <v>463</v>
      </c>
      <c r="C214" s="42" t="s">
        <v>811</v>
      </c>
    </row>
    <row r="215" spans="1:3">
      <c r="A215" s="42" t="s">
        <v>462</v>
      </c>
      <c r="C215" s="42" t="s">
        <v>811</v>
      </c>
    </row>
    <row r="216" spans="1:3">
      <c r="A216" s="42" t="s">
        <v>461</v>
      </c>
      <c r="C216" s="42" t="s">
        <v>811</v>
      </c>
    </row>
    <row r="217" spans="1:3">
      <c r="A217" s="42" t="s">
        <v>460</v>
      </c>
      <c r="C217" s="42" t="s">
        <v>811</v>
      </c>
    </row>
    <row r="218" spans="1:3">
      <c r="A218" s="42" t="s">
        <v>459</v>
      </c>
      <c r="C218" s="42" t="s">
        <v>811</v>
      </c>
    </row>
    <row r="219" spans="1:3">
      <c r="A219" s="42" t="s">
        <v>457</v>
      </c>
      <c r="C219" s="42" t="s">
        <v>811</v>
      </c>
    </row>
    <row r="220" spans="1:3">
      <c r="A220" s="42" t="s">
        <v>455</v>
      </c>
      <c r="C220" s="42" t="s">
        <v>811</v>
      </c>
    </row>
    <row r="221" spans="1:3">
      <c r="A221" s="42" t="s">
        <v>453</v>
      </c>
      <c r="C221" s="42" t="s">
        <v>804</v>
      </c>
    </row>
    <row r="222" spans="1:3">
      <c r="A222" s="42" t="s">
        <v>814</v>
      </c>
      <c r="C222" s="42" t="s">
        <v>811</v>
      </c>
    </row>
    <row r="223" spans="1:3">
      <c r="A223" s="42" t="s">
        <v>450</v>
      </c>
      <c r="C223" s="42" t="s">
        <v>811</v>
      </c>
    </row>
    <row r="224" spans="1:3">
      <c r="A224" s="42" t="s">
        <v>449</v>
      </c>
      <c r="C224" s="42" t="s">
        <v>811</v>
      </c>
    </row>
    <row r="225" spans="1:3">
      <c r="A225" s="42" t="s">
        <v>448</v>
      </c>
      <c r="C225" s="42" t="s">
        <v>811</v>
      </c>
    </row>
    <row r="226" spans="1:3">
      <c r="A226" s="42" t="s">
        <v>447</v>
      </c>
      <c r="C226" s="42" t="s">
        <v>811</v>
      </c>
    </row>
    <row r="227" spans="1:3">
      <c r="A227" s="42" t="s">
        <v>446</v>
      </c>
      <c r="C227" s="42" t="s">
        <v>811</v>
      </c>
    </row>
    <row r="228" spans="1:3">
      <c r="A228" s="42" t="s">
        <v>445</v>
      </c>
      <c r="C228" s="42" t="s">
        <v>811</v>
      </c>
    </row>
    <row r="229" spans="1:3">
      <c r="A229" s="42" t="s">
        <v>444</v>
      </c>
      <c r="C229" s="42" t="s">
        <v>811</v>
      </c>
    </row>
    <row r="230" spans="1:3">
      <c r="A230" s="42" t="s">
        <v>442</v>
      </c>
      <c r="C230" s="42" t="s">
        <v>811</v>
      </c>
    </row>
    <row r="231" spans="1:3">
      <c r="A231" s="42" t="s">
        <v>440</v>
      </c>
      <c r="C231" s="42" t="s">
        <v>811</v>
      </c>
    </row>
    <row r="232" spans="1:3">
      <c r="A232" s="42" t="s">
        <v>438</v>
      </c>
      <c r="C232" s="42" t="s">
        <v>811</v>
      </c>
    </row>
    <row r="233" spans="1:3">
      <c r="A233" s="42" t="s">
        <v>436</v>
      </c>
      <c r="C233" s="42" t="s">
        <v>811</v>
      </c>
    </row>
    <row r="234" spans="1:3">
      <c r="A234" s="42" t="s">
        <v>815</v>
      </c>
      <c r="C234" s="42" t="s">
        <v>811</v>
      </c>
    </row>
    <row r="235" spans="1:3">
      <c r="A235" s="42" t="s">
        <v>816</v>
      </c>
      <c r="C235" s="42" t="s">
        <v>811</v>
      </c>
    </row>
    <row r="236" spans="1:3">
      <c r="A236" s="42" t="s">
        <v>817</v>
      </c>
      <c r="C236" s="42" t="s">
        <v>811</v>
      </c>
    </row>
    <row r="237" spans="1:3">
      <c r="A237" s="42" t="s">
        <v>433</v>
      </c>
      <c r="C237" s="42" t="s">
        <v>818</v>
      </c>
    </row>
    <row r="238" spans="1:3">
      <c r="A238" s="42" t="s">
        <v>819</v>
      </c>
      <c r="C238" s="42" t="s">
        <v>818</v>
      </c>
    </row>
    <row r="239" spans="1:3">
      <c r="A239" s="42" t="s">
        <v>431</v>
      </c>
      <c r="C239" s="42" t="s">
        <v>818</v>
      </c>
    </row>
    <row r="240" spans="1:3">
      <c r="A240" s="42" t="s">
        <v>430</v>
      </c>
      <c r="C240" s="42" t="s">
        <v>818</v>
      </c>
    </row>
    <row r="241" spans="1:3">
      <c r="A241" s="42" t="s">
        <v>429</v>
      </c>
      <c r="C241" s="42" t="s">
        <v>818</v>
      </c>
    </row>
    <row r="242" spans="1:3">
      <c r="A242" s="42" t="s">
        <v>428</v>
      </c>
      <c r="C242" s="42" t="s">
        <v>818</v>
      </c>
    </row>
    <row r="243" spans="1:3">
      <c r="A243" s="42" t="s">
        <v>426</v>
      </c>
      <c r="C243" s="42" t="s">
        <v>818</v>
      </c>
    </row>
    <row r="244" spans="1:3">
      <c r="A244" s="42" t="s">
        <v>424</v>
      </c>
      <c r="C244" s="42" t="s">
        <v>818</v>
      </c>
    </row>
    <row r="245" spans="1:3">
      <c r="A245" s="42" t="s">
        <v>422</v>
      </c>
      <c r="C245" s="42" t="s">
        <v>818</v>
      </c>
    </row>
    <row r="246" spans="1:3">
      <c r="A246" s="42" t="s">
        <v>421</v>
      </c>
      <c r="C246" s="42" t="s">
        <v>818</v>
      </c>
    </row>
    <row r="247" spans="1:3">
      <c r="A247" s="42" t="s">
        <v>419</v>
      </c>
      <c r="C247" s="42" t="s">
        <v>818</v>
      </c>
    </row>
    <row r="248" spans="1:3">
      <c r="A248" s="42" t="s">
        <v>416</v>
      </c>
      <c r="C248" s="42" t="s">
        <v>818</v>
      </c>
    </row>
    <row r="249" spans="1:3">
      <c r="A249" s="42" t="s">
        <v>414</v>
      </c>
      <c r="C249" s="42" t="s">
        <v>818</v>
      </c>
    </row>
    <row r="250" spans="1:3">
      <c r="A250" s="42" t="s">
        <v>412</v>
      </c>
      <c r="C250" s="42" t="s">
        <v>818</v>
      </c>
    </row>
    <row r="251" spans="1:3">
      <c r="A251" s="42" t="s">
        <v>410</v>
      </c>
      <c r="C251" s="42" t="s">
        <v>818</v>
      </c>
    </row>
    <row r="252" spans="1:3">
      <c r="A252" s="42" t="s">
        <v>408</v>
      </c>
      <c r="C252" s="42" t="s">
        <v>818</v>
      </c>
    </row>
    <row r="253" spans="1:3">
      <c r="A253" s="42" t="s">
        <v>406</v>
      </c>
      <c r="C253" s="42" t="s">
        <v>818</v>
      </c>
    </row>
    <row r="254" spans="1:3">
      <c r="A254" s="42" t="s">
        <v>405</v>
      </c>
      <c r="C254" s="42" t="s">
        <v>818</v>
      </c>
    </row>
    <row r="255" spans="1:3">
      <c r="A255" s="42" t="s">
        <v>403</v>
      </c>
      <c r="C255" s="42" t="s">
        <v>818</v>
      </c>
    </row>
    <row r="256" spans="1:3">
      <c r="A256" s="42" t="s">
        <v>401</v>
      </c>
      <c r="C256" s="42" t="s">
        <v>818</v>
      </c>
    </row>
    <row r="257" spans="1:3">
      <c r="A257" s="42" t="s">
        <v>399</v>
      </c>
      <c r="C257" s="42" t="s">
        <v>818</v>
      </c>
    </row>
    <row r="258" spans="1:3">
      <c r="A258" s="42" t="s">
        <v>820</v>
      </c>
      <c r="C258" s="42" t="s">
        <v>818</v>
      </c>
    </row>
    <row r="259" spans="1:3">
      <c r="A259" s="42" t="s">
        <v>397</v>
      </c>
      <c r="C259" s="42" t="s">
        <v>818</v>
      </c>
    </row>
    <row r="260" spans="1:3">
      <c r="A260" s="42" t="s">
        <v>395</v>
      </c>
      <c r="C260" s="42" t="s">
        <v>818</v>
      </c>
    </row>
    <row r="261" spans="1:3">
      <c r="A261" s="42" t="s">
        <v>393</v>
      </c>
      <c r="C261" s="42" t="s">
        <v>818</v>
      </c>
    </row>
    <row r="262" spans="1:3">
      <c r="A262" s="42" t="s">
        <v>391</v>
      </c>
      <c r="C262" s="42" t="s">
        <v>818</v>
      </c>
    </row>
    <row r="263" spans="1:3">
      <c r="A263" s="42" t="s">
        <v>821</v>
      </c>
      <c r="C263" s="42" t="s">
        <v>818</v>
      </c>
    </row>
    <row r="264" spans="1:3">
      <c r="A264" s="42" t="s">
        <v>822</v>
      </c>
      <c r="C264" s="42" t="s">
        <v>818</v>
      </c>
    </row>
    <row r="265" spans="1:3">
      <c r="A265" s="42" t="s">
        <v>823</v>
      </c>
      <c r="C265" s="42" t="s">
        <v>818</v>
      </c>
    </row>
    <row r="266" spans="1:3">
      <c r="A266" s="42" t="s">
        <v>374</v>
      </c>
      <c r="C266" s="42" t="s">
        <v>824</v>
      </c>
    </row>
    <row r="267" spans="1:3">
      <c r="A267" s="42" t="s">
        <v>372</v>
      </c>
      <c r="C267" s="42" t="s">
        <v>824</v>
      </c>
    </row>
    <row r="268" spans="1:3">
      <c r="A268" s="42" t="s">
        <v>370</v>
      </c>
      <c r="C268" s="42" t="s">
        <v>824</v>
      </c>
    </row>
    <row r="269" spans="1:3">
      <c r="A269" s="42" t="s">
        <v>368</v>
      </c>
      <c r="C269" s="42" t="s">
        <v>824</v>
      </c>
    </row>
    <row r="270" spans="1:3">
      <c r="A270" s="42" t="s">
        <v>366</v>
      </c>
      <c r="C270" s="42" t="s">
        <v>824</v>
      </c>
    </row>
    <row r="271" spans="1:3">
      <c r="A271" s="42" t="s">
        <v>364</v>
      </c>
      <c r="C271" s="42" t="s">
        <v>824</v>
      </c>
    </row>
    <row r="272" spans="1:3">
      <c r="A272" s="42" t="s">
        <v>362</v>
      </c>
      <c r="C272" s="42" t="s">
        <v>824</v>
      </c>
    </row>
    <row r="273" spans="1:3">
      <c r="A273" s="42" t="s">
        <v>825</v>
      </c>
      <c r="C273" s="42" t="s">
        <v>824</v>
      </c>
    </row>
    <row r="274" spans="1:3">
      <c r="A274" s="42" t="s">
        <v>826</v>
      </c>
      <c r="C274" s="42" t="s">
        <v>824</v>
      </c>
    </row>
    <row r="275" spans="1:3">
      <c r="A275" s="42" t="s">
        <v>827</v>
      </c>
      <c r="C275" s="42" t="s">
        <v>824</v>
      </c>
    </row>
    <row r="276" spans="1:3">
      <c r="A276" s="42" t="s">
        <v>360</v>
      </c>
      <c r="C276" s="42" t="s">
        <v>828</v>
      </c>
    </row>
    <row r="277" spans="1:3">
      <c r="A277" s="42" t="s">
        <v>359</v>
      </c>
      <c r="C277" s="42" t="s">
        <v>828</v>
      </c>
    </row>
    <row r="278" spans="1:3">
      <c r="A278" s="42" t="s">
        <v>357</v>
      </c>
      <c r="C278" s="42" t="s">
        <v>828</v>
      </c>
    </row>
    <row r="279" spans="1:3">
      <c r="A279" s="42" t="s">
        <v>355</v>
      </c>
      <c r="C279" s="42" t="s">
        <v>828</v>
      </c>
    </row>
    <row r="280" spans="1:3">
      <c r="A280" s="42" t="s">
        <v>353</v>
      </c>
      <c r="C280" s="42" t="s">
        <v>828</v>
      </c>
    </row>
    <row r="281" spans="1:3">
      <c r="A281" s="42" t="s">
        <v>352</v>
      </c>
      <c r="C281" s="42" t="s">
        <v>828</v>
      </c>
    </row>
    <row r="282" spans="1:3">
      <c r="A282" s="42" t="s">
        <v>351</v>
      </c>
      <c r="C282" s="42" t="s">
        <v>828</v>
      </c>
    </row>
    <row r="283" spans="1:3">
      <c r="A283" s="42" t="s">
        <v>350</v>
      </c>
      <c r="C283" s="42" t="s">
        <v>828</v>
      </c>
    </row>
    <row r="284" spans="1:3">
      <c r="A284" s="42" t="s">
        <v>829</v>
      </c>
      <c r="C284" s="42" t="s">
        <v>828</v>
      </c>
    </row>
    <row r="285" spans="1:3">
      <c r="A285" s="42" t="s">
        <v>830</v>
      </c>
      <c r="C285" s="42" t="s">
        <v>828</v>
      </c>
    </row>
    <row r="286" spans="1:3">
      <c r="A286" s="42" t="s">
        <v>831</v>
      </c>
      <c r="C286" s="42" t="s">
        <v>828</v>
      </c>
    </row>
    <row r="287" spans="1:3">
      <c r="A287" s="42" t="s">
        <v>278</v>
      </c>
      <c r="C287" s="42" t="s">
        <v>832</v>
      </c>
    </row>
    <row r="288" spans="1:3">
      <c r="A288" s="42" t="s">
        <v>277</v>
      </c>
      <c r="C288" s="42" t="s">
        <v>832</v>
      </c>
    </row>
    <row r="289" spans="1:3">
      <c r="A289" s="42" t="s">
        <v>276</v>
      </c>
      <c r="C289" s="42" t="s">
        <v>832</v>
      </c>
    </row>
    <row r="290" spans="1:3">
      <c r="A290" s="42" t="s">
        <v>275</v>
      </c>
      <c r="C290" s="42" t="s">
        <v>832</v>
      </c>
    </row>
    <row r="291" spans="1:3">
      <c r="A291" s="42" t="s">
        <v>833</v>
      </c>
      <c r="C291" s="42" t="s">
        <v>832</v>
      </c>
    </row>
    <row r="292" spans="1:3">
      <c r="A292" s="42" t="s">
        <v>834</v>
      </c>
      <c r="C292" s="42" t="s">
        <v>832</v>
      </c>
    </row>
    <row r="293" spans="1:3">
      <c r="A293" s="42" t="s">
        <v>835</v>
      </c>
      <c r="C293" s="42" t="s">
        <v>832</v>
      </c>
    </row>
    <row r="294" spans="1:3">
      <c r="A294" s="42" t="s">
        <v>837</v>
      </c>
      <c r="C294" s="42" t="s">
        <v>836</v>
      </c>
    </row>
    <row r="295" spans="1:3">
      <c r="A295" s="42" t="s">
        <v>273</v>
      </c>
      <c r="C295" s="42" t="s">
        <v>836</v>
      </c>
    </row>
    <row r="296" spans="1:3">
      <c r="A296" s="42" t="s">
        <v>271</v>
      </c>
      <c r="C296" s="42" t="s">
        <v>836</v>
      </c>
    </row>
    <row r="297" spans="1:3">
      <c r="A297" s="42" t="s">
        <v>269</v>
      </c>
      <c r="C297" s="42" t="s">
        <v>836</v>
      </c>
    </row>
    <row r="298" spans="1:3">
      <c r="A298" s="42" t="s">
        <v>267</v>
      </c>
      <c r="C298" s="42" t="s">
        <v>836</v>
      </c>
    </row>
    <row r="299" spans="1:3">
      <c r="A299" s="42" t="s">
        <v>265</v>
      </c>
      <c r="C299" s="42" t="s">
        <v>836</v>
      </c>
    </row>
    <row r="300" spans="1:3">
      <c r="A300" s="42" t="s">
        <v>263</v>
      </c>
      <c r="C300" s="42" t="s">
        <v>836</v>
      </c>
    </row>
    <row r="301" spans="1:3">
      <c r="A301" s="42" t="s">
        <v>260</v>
      </c>
      <c r="C301" s="42" t="s">
        <v>836</v>
      </c>
    </row>
    <row r="302" spans="1:3">
      <c r="A302" s="42" t="s">
        <v>261</v>
      </c>
      <c r="C302" s="42" t="s">
        <v>836</v>
      </c>
    </row>
    <row r="303" spans="1:3">
      <c r="A303" s="42" t="s">
        <v>259</v>
      </c>
      <c r="C303" s="42" t="s">
        <v>836</v>
      </c>
    </row>
    <row r="304" spans="1:3">
      <c r="A304" s="42" t="s">
        <v>257</v>
      </c>
      <c r="C304" s="42" t="s">
        <v>836</v>
      </c>
    </row>
    <row r="305" spans="1:3">
      <c r="A305" s="42" t="s">
        <v>255</v>
      </c>
      <c r="C305" s="42" t="s">
        <v>836</v>
      </c>
    </row>
    <row r="306" spans="1:3">
      <c r="A306" s="42" t="s">
        <v>253</v>
      </c>
      <c r="C306" s="42" t="s">
        <v>836</v>
      </c>
    </row>
    <row r="307" spans="1:3">
      <c r="A307" s="42" t="s">
        <v>251</v>
      </c>
      <c r="C307" s="42" t="s">
        <v>836</v>
      </c>
    </row>
    <row r="308" spans="1:3">
      <c r="A308" s="42" t="s">
        <v>838</v>
      </c>
      <c r="C308" s="42" t="s">
        <v>836</v>
      </c>
    </row>
    <row r="309" spans="1:3">
      <c r="A309" s="42" t="s">
        <v>839</v>
      </c>
      <c r="C309" s="42" t="s">
        <v>836</v>
      </c>
    </row>
    <row r="310" spans="1:3">
      <c r="A310" s="42" t="s">
        <v>840</v>
      </c>
      <c r="C310" s="42" t="s">
        <v>836</v>
      </c>
    </row>
    <row r="311" spans="1:3">
      <c r="A311" s="42" t="s">
        <v>348</v>
      </c>
      <c r="C311" s="42" t="s">
        <v>841</v>
      </c>
    </row>
    <row r="312" spans="1:3">
      <c r="A312" s="42" t="s">
        <v>346</v>
      </c>
      <c r="C312" s="42" t="s">
        <v>841</v>
      </c>
    </row>
    <row r="313" spans="1:3">
      <c r="A313" s="42" t="s">
        <v>842</v>
      </c>
      <c r="C313" s="42" t="s">
        <v>841</v>
      </c>
    </row>
    <row r="314" spans="1:3">
      <c r="A314" s="42" t="s">
        <v>344</v>
      </c>
      <c r="C314" s="42" t="s">
        <v>841</v>
      </c>
    </row>
    <row r="315" spans="1:3">
      <c r="A315" s="42" t="s">
        <v>343</v>
      </c>
      <c r="C315" s="42" t="s">
        <v>841</v>
      </c>
    </row>
    <row r="316" spans="1:3">
      <c r="A316" s="42" t="s">
        <v>342</v>
      </c>
      <c r="C316" s="42" t="s">
        <v>841</v>
      </c>
    </row>
    <row r="317" spans="1:3">
      <c r="A317" s="42" t="s">
        <v>341</v>
      </c>
      <c r="C317" s="42" t="s">
        <v>841</v>
      </c>
    </row>
    <row r="318" spans="1:3">
      <c r="A318" s="42" t="s">
        <v>340</v>
      </c>
      <c r="C318" s="42" t="s">
        <v>841</v>
      </c>
    </row>
    <row r="319" spans="1:3">
      <c r="A319" s="42" t="s">
        <v>339</v>
      </c>
      <c r="C319" s="42" t="s">
        <v>841</v>
      </c>
    </row>
    <row r="320" spans="1:3">
      <c r="A320" s="42" t="s">
        <v>338</v>
      </c>
      <c r="C320" s="42" t="s">
        <v>841</v>
      </c>
    </row>
    <row r="321" spans="1:3">
      <c r="A321" s="42" t="s">
        <v>336</v>
      </c>
      <c r="C321" s="42" t="s">
        <v>841</v>
      </c>
    </row>
    <row r="322" spans="1:3">
      <c r="A322" s="42" t="s">
        <v>334</v>
      </c>
      <c r="C322" s="42" t="s">
        <v>841</v>
      </c>
    </row>
    <row r="323" spans="1:3">
      <c r="A323" s="42" t="s">
        <v>332</v>
      </c>
      <c r="C323" s="42" t="s">
        <v>841</v>
      </c>
    </row>
    <row r="324" spans="1:3">
      <c r="A324" s="42" t="s">
        <v>330</v>
      </c>
      <c r="C324" s="42" t="s">
        <v>841</v>
      </c>
    </row>
    <row r="325" spans="1:3">
      <c r="A325" s="42" t="s">
        <v>329</v>
      </c>
      <c r="C325" s="42" t="s">
        <v>841</v>
      </c>
    </row>
    <row r="326" spans="1:3">
      <c r="A326" s="42" t="s">
        <v>327</v>
      </c>
      <c r="C326" s="42" t="s">
        <v>841</v>
      </c>
    </row>
    <row r="327" spans="1:3">
      <c r="A327" s="42" t="s">
        <v>325</v>
      </c>
      <c r="C327" s="42" t="s">
        <v>841</v>
      </c>
    </row>
    <row r="328" spans="1:3">
      <c r="A328" s="42" t="s">
        <v>323</v>
      </c>
      <c r="C328" s="42" t="s">
        <v>841</v>
      </c>
    </row>
    <row r="329" spans="1:3">
      <c r="A329" s="42" t="s">
        <v>321</v>
      </c>
      <c r="C329" s="42" t="s">
        <v>841</v>
      </c>
    </row>
    <row r="330" spans="1:3">
      <c r="A330" s="42" t="s">
        <v>320</v>
      </c>
      <c r="C330" s="42" t="s">
        <v>841</v>
      </c>
    </row>
    <row r="331" spans="1:3">
      <c r="A331" s="42" t="s">
        <v>319</v>
      </c>
      <c r="C331" s="42" t="s">
        <v>841</v>
      </c>
    </row>
    <row r="332" spans="1:3">
      <c r="A332" s="42" t="s">
        <v>318</v>
      </c>
      <c r="C332" s="42" t="s">
        <v>841</v>
      </c>
    </row>
    <row r="333" spans="1:3">
      <c r="A333" s="42" t="s">
        <v>317</v>
      </c>
      <c r="C333" s="42" t="s">
        <v>841</v>
      </c>
    </row>
    <row r="334" spans="1:3">
      <c r="A334" s="42" t="s">
        <v>315</v>
      </c>
      <c r="C334" s="42" t="s">
        <v>841</v>
      </c>
    </row>
    <row r="335" spans="1:3">
      <c r="A335" s="42" t="s">
        <v>313</v>
      </c>
      <c r="C335" s="42" t="s">
        <v>841</v>
      </c>
    </row>
    <row r="336" spans="1:3">
      <c r="A336" s="42" t="s">
        <v>311</v>
      </c>
      <c r="C336" s="42" t="s">
        <v>841</v>
      </c>
    </row>
    <row r="337" spans="1:3">
      <c r="A337" s="42" t="s">
        <v>309</v>
      </c>
      <c r="C337" s="42" t="s">
        <v>841</v>
      </c>
    </row>
    <row r="338" spans="1:3">
      <c r="A338" s="42" t="s">
        <v>307</v>
      </c>
      <c r="C338" s="42" t="s">
        <v>841</v>
      </c>
    </row>
    <row r="339" spans="1:3">
      <c r="A339" s="42" t="s">
        <v>843</v>
      </c>
      <c r="C339" s="42" t="s">
        <v>841</v>
      </c>
    </row>
    <row r="340" spans="1:3">
      <c r="A340" s="42" t="s">
        <v>305</v>
      </c>
      <c r="C340" s="42" t="s">
        <v>841</v>
      </c>
    </row>
    <row r="341" spans="1:3">
      <c r="A341" s="42" t="s">
        <v>304</v>
      </c>
      <c r="C341" s="42" t="s">
        <v>841</v>
      </c>
    </row>
    <row r="342" spans="1:3">
      <c r="A342" s="42" t="s">
        <v>303</v>
      </c>
      <c r="C342" s="42" t="s">
        <v>841</v>
      </c>
    </row>
    <row r="343" spans="1:3">
      <c r="A343" s="42" t="s">
        <v>302</v>
      </c>
      <c r="C343" s="42" t="s">
        <v>841</v>
      </c>
    </row>
    <row r="344" spans="1:3">
      <c r="A344" s="42" t="s">
        <v>844</v>
      </c>
      <c r="C344" s="42" t="s">
        <v>841</v>
      </c>
    </row>
    <row r="345" spans="1:3">
      <c r="A345" s="42" t="s">
        <v>301</v>
      </c>
      <c r="C345" s="42" t="s">
        <v>841</v>
      </c>
    </row>
    <row r="346" spans="1:3">
      <c r="A346" s="42" t="s">
        <v>299</v>
      </c>
      <c r="C346" s="42" t="s">
        <v>841</v>
      </c>
    </row>
    <row r="347" spans="1:3">
      <c r="A347" s="42" t="s">
        <v>297</v>
      </c>
      <c r="C347" s="42" t="s">
        <v>841</v>
      </c>
    </row>
    <row r="348" spans="1:3">
      <c r="A348" s="42" t="s">
        <v>295</v>
      </c>
      <c r="C348" s="42" t="s">
        <v>841</v>
      </c>
    </row>
    <row r="349" spans="1:3">
      <c r="A349" s="42" t="s">
        <v>294</v>
      </c>
      <c r="C349" s="42" t="s">
        <v>841</v>
      </c>
    </row>
    <row r="350" spans="1:3">
      <c r="A350" s="42" t="s">
        <v>292</v>
      </c>
      <c r="C350" s="42" t="s">
        <v>841</v>
      </c>
    </row>
    <row r="351" spans="1:3">
      <c r="A351" s="42" t="s">
        <v>845</v>
      </c>
      <c r="C351" s="42" t="s">
        <v>841</v>
      </c>
    </row>
    <row r="352" spans="1:3">
      <c r="A352" s="42" t="s">
        <v>846</v>
      </c>
      <c r="C352" s="42" t="s">
        <v>841</v>
      </c>
    </row>
    <row r="353" spans="1:3">
      <c r="A353" s="42" t="s">
        <v>847</v>
      </c>
      <c r="C353" s="42" t="s">
        <v>841</v>
      </c>
    </row>
    <row r="354" spans="1:3">
      <c r="A354" s="42" t="s">
        <v>41</v>
      </c>
      <c r="C354" s="42" t="s">
        <v>848</v>
      </c>
    </row>
    <row r="355" spans="1:3">
      <c r="A355" s="42" t="s">
        <v>290</v>
      </c>
      <c r="C355" s="42" t="s">
        <v>848</v>
      </c>
    </row>
    <row r="356" spans="1:3">
      <c r="A356" s="42" t="s">
        <v>289</v>
      </c>
      <c r="C356" s="42" t="s">
        <v>848</v>
      </c>
    </row>
    <row r="357" spans="1:3">
      <c r="A357" s="42" t="s">
        <v>288</v>
      </c>
      <c r="C357" s="42" t="s">
        <v>848</v>
      </c>
    </row>
    <row r="358" spans="1:3">
      <c r="A358" s="42" t="s">
        <v>287</v>
      </c>
      <c r="C358" s="42" t="s">
        <v>848</v>
      </c>
    </row>
    <row r="359" spans="1:3">
      <c r="A359" s="42" t="s">
        <v>285</v>
      </c>
      <c r="C359" s="42" t="s">
        <v>848</v>
      </c>
    </row>
    <row r="360" spans="1:3">
      <c r="A360" s="42" t="s">
        <v>283</v>
      </c>
      <c r="C360" s="42" t="s">
        <v>848</v>
      </c>
    </row>
    <row r="361" spans="1:3">
      <c r="A361" s="42" t="s">
        <v>282</v>
      </c>
      <c r="C361" s="42" t="s">
        <v>848</v>
      </c>
    </row>
    <row r="362" spans="1:3">
      <c r="A362" s="42" t="s">
        <v>280</v>
      </c>
      <c r="C362" s="42" t="s">
        <v>848</v>
      </c>
    </row>
    <row r="363" spans="1:3">
      <c r="A363" s="42" t="s">
        <v>849</v>
      </c>
      <c r="C363" s="42" t="s">
        <v>848</v>
      </c>
    </row>
    <row r="364" spans="1:3">
      <c r="A364" s="42" t="s">
        <v>850</v>
      </c>
      <c r="C364" s="42" t="s">
        <v>848</v>
      </c>
    </row>
    <row r="365" spans="1:3">
      <c r="A365" s="42" t="s">
        <v>851</v>
      </c>
      <c r="C365" s="42" t="s">
        <v>848</v>
      </c>
    </row>
    <row r="366" spans="1:3">
      <c r="A366" s="42" t="s">
        <v>629</v>
      </c>
      <c r="C366" s="42" t="s">
        <v>852</v>
      </c>
    </row>
    <row r="367" spans="1:3">
      <c r="A367" s="42" t="s">
        <v>627</v>
      </c>
      <c r="C367" s="42" t="s">
        <v>852</v>
      </c>
    </row>
    <row r="368" spans="1:3">
      <c r="A368" s="42" t="s">
        <v>625</v>
      </c>
      <c r="C368" s="42" t="s">
        <v>852</v>
      </c>
    </row>
    <row r="369" spans="1:3">
      <c r="A369" s="42" t="s">
        <v>623</v>
      </c>
      <c r="C369" s="42" t="s">
        <v>852</v>
      </c>
    </row>
    <row r="370" spans="1:3">
      <c r="A370" s="42" t="s">
        <v>853</v>
      </c>
      <c r="C370" s="42" t="s">
        <v>852</v>
      </c>
    </row>
    <row r="371" spans="1:3">
      <c r="A371" s="42" t="s">
        <v>621</v>
      </c>
      <c r="C371" s="42" t="s">
        <v>852</v>
      </c>
    </row>
    <row r="372" spans="1:3">
      <c r="A372" s="42" t="s">
        <v>619</v>
      </c>
      <c r="C372" s="42" t="s">
        <v>852</v>
      </c>
    </row>
    <row r="373" spans="1:3">
      <c r="A373" s="42" t="s">
        <v>617</v>
      </c>
      <c r="C373" s="42" t="s">
        <v>852</v>
      </c>
    </row>
    <row r="374" spans="1:3">
      <c r="A374" s="42" t="s">
        <v>615</v>
      </c>
      <c r="C374" s="42" t="s">
        <v>852</v>
      </c>
    </row>
    <row r="375" spans="1:3">
      <c r="A375" s="42" t="s">
        <v>613</v>
      </c>
      <c r="C375" s="42" t="s">
        <v>852</v>
      </c>
    </row>
    <row r="376" spans="1:3">
      <c r="A376" s="42" t="s">
        <v>611</v>
      </c>
      <c r="C376" s="42" t="s">
        <v>852</v>
      </c>
    </row>
    <row r="377" spans="1:3">
      <c r="A377" s="42" t="s">
        <v>609</v>
      </c>
      <c r="C377" s="42" t="s">
        <v>852</v>
      </c>
    </row>
    <row r="378" spans="1:3">
      <c r="A378" s="42" t="s">
        <v>607</v>
      </c>
      <c r="C378" s="42" t="s">
        <v>852</v>
      </c>
    </row>
    <row r="379" spans="1:3">
      <c r="A379" s="42" t="s">
        <v>854</v>
      </c>
      <c r="C379" s="42" t="s">
        <v>852</v>
      </c>
    </row>
    <row r="380" spans="1:3">
      <c r="A380" s="42" t="s">
        <v>855</v>
      </c>
      <c r="C380" s="42" t="s">
        <v>852</v>
      </c>
    </row>
    <row r="381" spans="1:3">
      <c r="A381" s="42" t="s">
        <v>856</v>
      </c>
      <c r="C381" s="42" t="s">
        <v>852</v>
      </c>
    </row>
    <row r="382" spans="1:3">
      <c r="A382" s="42" t="s">
        <v>249</v>
      </c>
      <c r="C382" s="42" t="s">
        <v>857</v>
      </c>
    </row>
    <row r="383" spans="1:3">
      <c r="A383" s="42" t="s">
        <v>248</v>
      </c>
      <c r="C383" s="42" t="s">
        <v>857</v>
      </c>
    </row>
    <row r="384" spans="1:3">
      <c r="A384" s="42" t="s">
        <v>246</v>
      </c>
      <c r="C384" s="42" t="s">
        <v>857</v>
      </c>
    </row>
    <row r="385" spans="1:3">
      <c r="A385" s="42" t="s">
        <v>244</v>
      </c>
      <c r="C385" s="42" t="s">
        <v>857</v>
      </c>
    </row>
    <row r="386" spans="1:3">
      <c r="A386" s="42" t="s">
        <v>242</v>
      </c>
      <c r="C386" s="42" t="s">
        <v>857</v>
      </c>
    </row>
    <row r="387" spans="1:3">
      <c r="A387" s="42" t="s">
        <v>240</v>
      </c>
      <c r="C387" s="42" t="s">
        <v>857</v>
      </c>
    </row>
    <row r="388" spans="1:3">
      <c r="A388" s="42" t="s">
        <v>238</v>
      </c>
      <c r="C388" s="42" t="s">
        <v>857</v>
      </c>
    </row>
    <row r="389" spans="1:3">
      <c r="A389" s="42" t="s">
        <v>217</v>
      </c>
      <c r="C389" s="42" t="s">
        <v>857</v>
      </c>
    </row>
    <row r="390" spans="1:3">
      <c r="A390" s="42" t="s">
        <v>215</v>
      </c>
      <c r="C390" s="42" t="s">
        <v>857</v>
      </c>
    </row>
    <row r="391" spans="1:3">
      <c r="A391" s="42" t="s">
        <v>213</v>
      </c>
      <c r="C391" s="42" t="s">
        <v>857</v>
      </c>
    </row>
    <row r="392" spans="1:3">
      <c r="A392" s="42" t="s">
        <v>211</v>
      </c>
      <c r="C392" s="42" t="s">
        <v>857</v>
      </c>
    </row>
    <row r="393" spans="1:3">
      <c r="A393" s="42" t="s">
        <v>209</v>
      </c>
      <c r="C393" s="42" t="s">
        <v>857</v>
      </c>
    </row>
    <row r="394" spans="1:3">
      <c r="A394" s="42" t="s">
        <v>207</v>
      </c>
      <c r="C394" s="42" t="s">
        <v>857</v>
      </c>
    </row>
    <row r="395" spans="1:3">
      <c r="A395" s="42" t="s">
        <v>205</v>
      </c>
      <c r="C395" s="42" t="s">
        <v>857</v>
      </c>
    </row>
    <row r="396" spans="1:3">
      <c r="A396" s="42" t="s">
        <v>204</v>
      </c>
      <c r="C396" s="42" t="s">
        <v>857</v>
      </c>
    </row>
    <row r="397" spans="1:3">
      <c r="A397" s="42" t="s">
        <v>203</v>
      </c>
      <c r="C397" s="42" t="s">
        <v>857</v>
      </c>
    </row>
    <row r="398" spans="1:3">
      <c r="A398" s="42" t="s">
        <v>858</v>
      </c>
      <c r="C398" s="42" t="s">
        <v>857</v>
      </c>
    </row>
    <row r="399" spans="1:3">
      <c r="A399" s="42" t="s">
        <v>859</v>
      </c>
      <c r="C399" s="42" t="s">
        <v>857</v>
      </c>
    </row>
    <row r="400" spans="1:3">
      <c r="A400" s="42" t="s">
        <v>860</v>
      </c>
      <c r="C400" s="42" t="s">
        <v>857</v>
      </c>
    </row>
    <row r="401" spans="1:3">
      <c r="A401" s="42" t="s">
        <v>201</v>
      </c>
      <c r="C401" s="42" t="s">
        <v>861</v>
      </c>
    </row>
    <row r="402" spans="1:3">
      <c r="A402" s="42" t="s">
        <v>200</v>
      </c>
      <c r="C402" s="42" t="s">
        <v>861</v>
      </c>
    </row>
    <row r="403" spans="1:3">
      <c r="A403" s="42" t="s">
        <v>198</v>
      </c>
      <c r="C403" s="42" t="s">
        <v>861</v>
      </c>
    </row>
    <row r="404" spans="1:3">
      <c r="A404" s="42" t="s">
        <v>197</v>
      </c>
      <c r="C404" s="42" t="s">
        <v>861</v>
      </c>
    </row>
    <row r="405" spans="1:3">
      <c r="A405" s="42" t="s">
        <v>196</v>
      </c>
      <c r="C405" s="42" t="s">
        <v>861</v>
      </c>
    </row>
    <row r="406" spans="1:3">
      <c r="A406" s="42" t="s">
        <v>194</v>
      </c>
      <c r="C406" s="42" t="s">
        <v>861</v>
      </c>
    </row>
    <row r="407" spans="1:3">
      <c r="A407" s="42" t="s">
        <v>192</v>
      </c>
      <c r="C407" s="42" t="s">
        <v>861</v>
      </c>
    </row>
    <row r="408" spans="1:3">
      <c r="A408" s="42" t="s">
        <v>190</v>
      </c>
      <c r="C408" s="42" t="s">
        <v>861</v>
      </c>
    </row>
    <row r="409" spans="1:3">
      <c r="A409" s="42" t="s">
        <v>188</v>
      </c>
      <c r="C409" s="42" t="s">
        <v>861</v>
      </c>
    </row>
    <row r="410" spans="1:3">
      <c r="A410" s="42" t="s">
        <v>186</v>
      </c>
      <c r="C410" s="42" t="s">
        <v>861</v>
      </c>
    </row>
    <row r="411" spans="1:3">
      <c r="A411" s="42" t="s">
        <v>184</v>
      </c>
      <c r="C411" s="42" t="s">
        <v>861</v>
      </c>
    </row>
    <row r="412" spans="1:3">
      <c r="A412" s="42" t="s">
        <v>182</v>
      </c>
      <c r="C412" s="42" t="s">
        <v>861</v>
      </c>
    </row>
    <row r="413" spans="1:3">
      <c r="A413" s="42" t="s">
        <v>180</v>
      </c>
      <c r="C413" s="42" t="s">
        <v>861</v>
      </c>
    </row>
    <row r="414" spans="1:3">
      <c r="A414" s="42" t="s">
        <v>178</v>
      </c>
      <c r="C414" s="42" t="s">
        <v>861</v>
      </c>
    </row>
    <row r="415" spans="1:3">
      <c r="A415" s="42" t="s">
        <v>176</v>
      </c>
      <c r="C415" s="42" t="s">
        <v>861</v>
      </c>
    </row>
    <row r="416" spans="1:3">
      <c r="A416" s="42" t="s">
        <v>174</v>
      </c>
      <c r="C416" s="42" t="s">
        <v>861</v>
      </c>
    </row>
    <row r="417" spans="1:3">
      <c r="A417" s="42" t="s">
        <v>173</v>
      </c>
      <c r="C417" s="42" t="s">
        <v>861</v>
      </c>
    </row>
    <row r="418" spans="1:3">
      <c r="A418" s="42" t="s">
        <v>171</v>
      </c>
      <c r="C418" s="42" t="s">
        <v>861</v>
      </c>
    </row>
    <row r="419" spans="1:3">
      <c r="A419" s="42" t="s">
        <v>169</v>
      </c>
      <c r="C419" s="42" t="s">
        <v>861</v>
      </c>
    </row>
    <row r="420" spans="1:3">
      <c r="A420" s="42" t="s">
        <v>168</v>
      </c>
      <c r="C420" s="42" t="s">
        <v>861</v>
      </c>
    </row>
    <row r="421" spans="1:3">
      <c r="A421" s="42" t="s">
        <v>167</v>
      </c>
      <c r="C421" s="42" t="s">
        <v>861</v>
      </c>
    </row>
    <row r="422" spans="1:3">
      <c r="A422" s="42" t="s">
        <v>166</v>
      </c>
      <c r="C422" s="42" t="s">
        <v>861</v>
      </c>
    </row>
    <row r="423" spans="1:3">
      <c r="A423" s="42" t="s">
        <v>165</v>
      </c>
      <c r="C423" s="42" t="s">
        <v>861</v>
      </c>
    </row>
    <row r="424" spans="1:3">
      <c r="A424" s="42" t="s">
        <v>163</v>
      </c>
      <c r="C424" s="42" t="s">
        <v>861</v>
      </c>
    </row>
    <row r="425" spans="1:3">
      <c r="A425" s="42" t="s">
        <v>162</v>
      </c>
      <c r="C425" s="42" t="s">
        <v>861</v>
      </c>
    </row>
    <row r="426" spans="1:3">
      <c r="A426" s="42" t="s">
        <v>160</v>
      </c>
      <c r="C426" s="42" t="s">
        <v>861</v>
      </c>
    </row>
    <row r="427" spans="1:3">
      <c r="A427" s="42" t="s">
        <v>158</v>
      </c>
      <c r="C427" s="42" t="s">
        <v>861</v>
      </c>
    </row>
    <row r="428" spans="1:3">
      <c r="A428" s="42" t="s">
        <v>156</v>
      </c>
      <c r="C428" s="42" t="s">
        <v>861</v>
      </c>
    </row>
    <row r="429" spans="1:3">
      <c r="A429" s="42" t="s">
        <v>154</v>
      </c>
      <c r="C429" s="42" t="s">
        <v>861</v>
      </c>
    </row>
    <row r="430" spans="1:3">
      <c r="A430" s="42" t="s">
        <v>152</v>
      </c>
      <c r="C430" s="42" t="s">
        <v>861</v>
      </c>
    </row>
    <row r="431" spans="1:3">
      <c r="A431" s="42" t="s">
        <v>150</v>
      </c>
      <c r="C431" s="42" t="s">
        <v>861</v>
      </c>
    </row>
    <row r="432" spans="1:3">
      <c r="A432" s="42" t="s">
        <v>148</v>
      </c>
      <c r="C432" s="42" t="s">
        <v>861</v>
      </c>
    </row>
    <row r="433" spans="1:3">
      <c r="A433" s="42" t="s">
        <v>862</v>
      </c>
      <c r="C433" s="42" t="s">
        <v>861</v>
      </c>
    </row>
    <row r="434" spans="1:3">
      <c r="A434" s="42" t="s">
        <v>863</v>
      </c>
      <c r="C434" s="42" t="s">
        <v>861</v>
      </c>
    </row>
    <row r="435" spans="1:3">
      <c r="A435" s="42" t="s">
        <v>864</v>
      </c>
      <c r="C435" s="42" t="s">
        <v>861</v>
      </c>
    </row>
    <row r="436" spans="1:3">
      <c r="A436" s="42" t="s">
        <v>140</v>
      </c>
      <c r="C436" s="42" t="s">
        <v>865</v>
      </c>
    </row>
    <row r="437" spans="1:3">
      <c r="A437" s="42" t="s">
        <v>138</v>
      </c>
      <c r="C437" s="42" t="s">
        <v>865</v>
      </c>
    </row>
    <row r="438" spans="1:3">
      <c r="A438" s="42" t="s">
        <v>136</v>
      </c>
      <c r="C438" s="42" t="s">
        <v>865</v>
      </c>
    </row>
    <row r="439" spans="1:3">
      <c r="A439" s="42" t="s">
        <v>134</v>
      </c>
      <c r="C439" s="42" t="s">
        <v>865</v>
      </c>
    </row>
    <row r="440" spans="1:3">
      <c r="A440" s="42" t="s">
        <v>132</v>
      </c>
      <c r="C440" s="42" t="s">
        <v>865</v>
      </c>
    </row>
    <row r="441" spans="1:3">
      <c r="A441" s="42" t="s">
        <v>130</v>
      </c>
      <c r="C441" s="42" t="s">
        <v>865</v>
      </c>
    </row>
    <row r="442" spans="1:3">
      <c r="A442" s="42" t="s">
        <v>128</v>
      </c>
      <c r="C442" s="42" t="s">
        <v>865</v>
      </c>
    </row>
    <row r="443" spans="1:3">
      <c r="A443" s="42" t="s">
        <v>126</v>
      </c>
      <c r="C443" s="42" t="s">
        <v>865</v>
      </c>
    </row>
    <row r="444" spans="1:3">
      <c r="A444" s="42" t="s">
        <v>124</v>
      </c>
      <c r="C444" s="42" t="s">
        <v>865</v>
      </c>
    </row>
    <row r="445" spans="1:3">
      <c r="A445" s="42" t="s">
        <v>122</v>
      </c>
      <c r="C445" s="42" t="s">
        <v>865</v>
      </c>
    </row>
    <row r="446" spans="1:3">
      <c r="A446" s="42" t="s">
        <v>119</v>
      </c>
      <c r="C446" s="42" t="s">
        <v>865</v>
      </c>
    </row>
    <row r="447" spans="1:3">
      <c r="A447" s="42" t="s">
        <v>116</v>
      </c>
      <c r="C447" s="42" t="s">
        <v>865</v>
      </c>
    </row>
    <row r="448" spans="1:3">
      <c r="A448" s="42" t="s">
        <v>114</v>
      </c>
      <c r="C448" s="42" t="s">
        <v>865</v>
      </c>
    </row>
    <row r="449" spans="1:3">
      <c r="A449" s="42" t="s">
        <v>112</v>
      </c>
      <c r="C449" s="42" t="s">
        <v>865</v>
      </c>
    </row>
    <row r="450" spans="1:3">
      <c r="A450" s="42" t="s">
        <v>111</v>
      </c>
      <c r="C450" s="42" t="s">
        <v>865</v>
      </c>
    </row>
    <row r="451" spans="1:3">
      <c r="A451" s="42" t="s">
        <v>109</v>
      </c>
      <c r="C451" s="42" t="s">
        <v>865</v>
      </c>
    </row>
    <row r="452" spans="1:3">
      <c r="A452" s="42" t="s">
        <v>108</v>
      </c>
      <c r="C452" s="42" t="s">
        <v>865</v>
      </c>
    </row>
    <row r="453" spans="1:3">
      <c r="A453" s="42" t="s">
        <v>107</v>
      </c>
      <c r="C453" s="42" t="s">
        <v>865</v>
      </c>
    </row>
    <row r="454" spans="1:3">
      <c r="A454" s="42" t="s">
        <v>105</v>
      </c>
      <c r="C454" s="42" t="s">
        <v>865</v>
      </c>
    </row>
    <row r="455" spans="1:3">
      <c r="A455" s="42" t="s">
        <v>103</v>
      </c>
      <c r="C455" s="42" t="s">
        <v>865</v>
      </c>
    </row>
    <row r="456" spans="1:3">
      <c r="A456" s="42" t="s">
        <v>101</v>
      </c>
      <c r="C456" s="42" t="s">
        <v>865</v>
      </c>
    </row>
    <row r="457" spans="1:3">
      <c r="A457" s="42" t="s">
        <v>99</v>
      </c>
      <c r="C457" s="42" t="s">
        <v>865</v>
      </c>
    </row>
    <row r="458" spans="1:3">
      <c r="A458" s="42" t="s">
        <v>97</v>
      </c>
      <c r="C458" s="42" t="s">
        <v>865</v>
      </c>
    </row>
    <row r="459" spans="1:3">
      <c r="A459" s="42" t="s">
        <v>96</v>
      </c>
      <c r="C459" s="42" t="s">
        <v>865</v>
      </c>
    </row>
    <row r="460" spans="1:3">
      <c r="A460" s="42" t="s">
        <v>95</v>
      </c>
      <c r="C460" s="42" t="s">
        <v>865</v>
      </c>
    </row>
    <row r="461" spans="1:3">
      <c r="A461" s="42" t="s">
        <v>93</v>
      </c>
      <c r="C461" s="42" t="s">
        <v>865</v>
      </c>
    </row>
    <row r="462" spans="1:3">
      <c r="A462" s="42" t="s">
        <v>91</v>
      </c>
      <c r="C462" s="42" t="s">
        <v>865</v>
      </c>
    </row>
    <row r="463" spans="1:3">
      <c r="A463" s="42" t="s">
        <v>89</v>
      </c>
      <c r="C463" s="42" t="s">
        <v>865</v>
      </c>
    </row>
    <row r="464" spans="1:3">
      <c r="A464" s="42" t="s">
        <v>87</v>
      </c>
      <c r="C464" s="42" t="s">
        <v>865</v>
      </c>
    </row>
    <row r="465" spans="1:3">
      <c r="A465" s="42" t="s">
        <v>85</v>
      </c>
      <c r="C465" s="42" t="s">
        <v>865</v>
      </c>
    </row>
    <row r="466" spans="1:3">
      <c r="A466" s="42" t="s">
        <v>83</v>
      </c>
      <c r="C466" s="42" t="s">
        <v>865</v>
      </c>
    </row>
    <row r="467" spans="1:3">
      <c r="A467" s="42" t="s">
        <v>81</v>
      </c>
      <c r="C467" s="42" t="s">
        <v>865</v>
      </c>
    </row>
    <row r="468" spans="1:3">
      <c r="A468" s="42" t="s">
        <v>79</v>
      </c>
      <c r="C468" s="42" t="s">
        <v>865</v>
      </c>
    </row>
    <row r="469" spans="1:3">
      <c r="A469" s="42" t="s">
        <v>77</v>
      </c>
      <c r="C469" s="42" t="s">
        <v>865</v>
      </c>
    </row>
    <row r="470" spans="1:3">
      <c r="A470" s="42" t="s">
        <v>76</v>
      </c>
      <c r="C470" s="42" t="s">
        <v>865</v>
      </c>
    </row>
    <row r="471" spans="1:3">
      <c r="A471" s="42" t="s">
        <v>75</v>
      </c>
      <c r="C471" s="42" t="s">
        <v>865</v>
      </c>
    </row>
    <row r="472" spans="1:3">
      <c r="A472" s="42" t="s">
        <v>73</v>
      </c>
      <c r="C472" s="42" t="s">
        <v>865</v>
      </c>
    </row>
    <row r="473" spans="1:3">
      <c r="A473" s="42" t="s">
        <v>71</v>
      </c>
      <c r="C473" s="42" t="s">
        <v>865</v>
      </c>
    </row>
    <row r="474" spans="1:3">
      <c r="A474" s="42" t="s">
        <v>866</v>
      </c>
      <c r="C474" s="42" t="s">
        <v>865</v>
      </c>
    </row>
    <row r="475" spans="1:3">
      <c r="A475" s="42" t="s">
        <v>867</v>
      </c>
      <c r="C475" s="42" t="s">
        <v>865</v>
      </c>
    </row>
    <row r="476" spans="1:3">
      <c r="A476" s="42" t="s">
        <v>146</v>
      </c>
      <c r="C476" s="42" t="s">
        <v>865</v>
      </c>
    </row>
    <row r="477" spans="1:3">
      <c r="A477" s="42" t="s">
        <v>709</v>
      </c>
      <c r="C477" s="42" t="s">
        <v>789</v>
      </c>
    </row>
    <row r="478" spans="1:3">
      <c r="A478" s="42" t="s">
        <v>690</v>
      </c>
      <c r="C478" s="42" t="s">
        <v>789</v>
      </c>
    </row>
    <row r="479" spans="1:3">
      <c r="A479" s="42" t="s">
        <v>435</v>
      </c>
      <c r="C479" s="42" t="s">
        <v>848</v>
      </c>
    </row>
    <row r="480" spans="1:3">
      <c r="A480" s="42" t="s">
        <v>389</v>
      </c>
      <c r="C480" s="42" t="s">
        <v>857</v>
      </c>
    </row>
    <row r="481" spans="1:3">
      <c r="A481" s="42" t="s">
        <v>388</v>
      </c>
      <c r="C481" s="42" t="s">
        <v>857</v>
      </c>
    </row>
    <row r="482" spans="1:3">
      <c r="A482" s="42" t="s">
        <v>387</v>
      </c>
      <c r="C482" s="42" t="s">
        <v>857</v>
      </c>
    </row>
    <row r="483" spans="1:3">
      <c r="A483" s="42" t="s">
        <v>386</v>
      </c>
      <c r="C483" s="42" t="s">
        <v>857</v>
      </c>
    </row>
    <row r="484" spans="1:3">
      <c r="A484" s="42" t="s">
        <v>385</v>
      </c>
      <c r="C484" s="42" t="s">
        <v>857</v>
      </c>
    </row>
    <row r="485" spans="1:3">
      <c r="A485" s="42" t="s">
        <v>384</v>
      </c>
      <c r="C485" s="42" t="s">
        <v>857</v>
      </c>
    </row>
    <row r="486" spans="1:3">
      <c r="A486" s="42" t="s">
        <v>383</v>
      </c>
      <c r="C486" s="42" t="s">
        <v>857</v>
      </c>
    </row>
    <row r="487" spans="1:3">
      <c r="A487" s="42" t="s">
        <v>382</v>
      </c>
      <c r="C487" s="42" t="s">
        <v>857</v>
      </c>
    </row>
    <row r="488" spans="1:3">
      <c r="A488" s="42" t="s">
        <v>381</v>
      </c>
      <c r="C488" s="42" t="s">
        <v>857</v>
      </c>
    </row>
    <row r="489" spans="1:3">
      <c r="A489" s="42" t="s">
        <v>380</v>
      </c>
      <c r="C489" s="42" t="s">
        <v>857</v>
      </c>
    </row>
    <row r="490" spans="1:3">
      <c r="A490" s="42" t="s">
        <v>236</v>
      </c>
      <c r="C490" s="42" t="s">
        <v>857</v>
      </c>
    </row>
    <row r="491" spans="1:3">
      <c r="A491" s="42" t="s">
        <v>234</v>
      </c>
      <c r="C491" s="42" t="s">
        <v>857</v>
      </c>
    </row>
    <row r="492" spans="1:3">
      <c r="A492" s="42" t="s">
        <v>233</v>
      </c>
      <c r="C492" s="42" t="s">
        <v>857</v>
      </c>
    </row>
    <row r="493" spans="1:3">
      <c r="A493" s="42" t="s">
        <v>223</v>
      </c>
      <c r="C493" s="42" t="s">
        <v>857</v>
      </c>
    </row>
    <row r="494" spans="1:3">
      <c r="A494" s="42" t="s">
        <v>222</v>
      </c>
      <c r="C494" s="42" t="s">
        <v>857</v>
      </c>
    </row>
    <row r="495" spans="1:3">
      <c r="A495" s="42" t="s">
        <v>998</v>
      </c>
      <c r="C495" s="42" t="s">
        <v>857</v>
      </c>
    </row>
    <row r="496" spans="1:3">
      <c r="A496" s="42" t="s">
        <v>869</v>
      </c>
      <c r="C496" s="42" t="s">
        <v>857</v>
      </c>
    </row>
    <row r="497" spans="1:3">
      <c r="A497" s="42" t="s">
        <v>870</v>
      </c>
      <c r="C497" s="42" t="s">
        <v>857</v>
      </c>
    </row>
    <row r="498" spans="1:3">
      <c r="A498" s="42" t="s">
        <v>871</v>
      </c>
      <c r="C498" s="42" t="s">
        <v>857</v>
      </c>
    </row>
    <row r="499" spans="1:3">
      <c r="A499" s="42" t="s">
        <v>872</v>
      </c>
      <c r="C499" s="42" t="s">
        <v>857</v>
      </c>
    </row>
    <row r="500" spans="1:3">
      <c r="A500" s="42" t="s">
        <v>145</v>
      </c>
      <c r="C500" s="42" t="s">
        <v>865</v>
      </c>
    </row>
    <row r="501" spans="1:3">
      <c r="A501" s="42" t="s">
        <v>144</v>
      </c>
      <c r="C501" s="42" t="s">
        <v>865</v>
      </c>
    </row>
    <row r="502" spans="1:3">
      <c r="A502" s="42" t="s">
        <v>143</v>
      </c>
      <c r="C502" s="42" t="s">
        <v>865</v>
      </c>
    </row>
    <row r="503" spans="1:3">
      <c r="A503" s="42" t="s">
        <v>142</v>
      </c>
      <c r="C503" s="42" t="s">
        <v>865</v>
      </c>
    </row>
    <row r="504" spans="1:3">
      <c r="A504" s="42" t="s">
        <v>141</v>
      </c>
      <c r="C504" s="42" t="s">
        <v>865</v>
      </c>
    </row>
    <row r="505" spans="1:3">
      <c r="A505" s="42" t="s">
        <v>999</v>
      </c>
      <c r="C505" s="42" t="s">
        <v>857</v>
      </c>
    </row>
    <row r="506" spans="1:3">
      <c r="A506" s="42" t="s">
        <v>1000</v>
      </c>
      <c r="C506" s="42" t="s">
        <v>857</v>
      </c>
    </row>
    <row r="507" spans="1:3">
      <c r="A507" s="42" t="s">
        <v>379</v>
      </c>
      <c r="C507" s="42" t="s">
        <v>824</v>
      </c>
    </row>
    <row r="508" spans="1:3">
      <c r="A508" s="42" t="s">
        <v>378</v>
      </c>
      <c r="C508" s="42" t="s">
        <v>824</v>
      </c>
    </row>
    <row r="509" spans="1:3">
      <c r="A509" s="42" t="s">
        <v>377</v>
      </c>
      <c r="C509" s="42" t="s">
        <v>824</v>
      </c>
    </row>
    <row r="510" spans="1:3">
      <c r="A510" s="42" t="s">
        <v>376</v>
      </c>
      <c r="C510" s="42" t="s">
        <v>824</v>
      </c>
    </row>
    <row r="511" spans="1:3">
      <c r="A511" s="42" t="s">
        <v>375</v>
      </c>
      <c r="C511" s="42" t="s">
        <v>824</v>
      </c>
    </row>
    <row r="512" spans="1:3">
      <c r="A512" s="42" t="s">
        <v>721</v>
      </c>
      <c r="C512" s="42" t="s">
        <v>789</v>
      </c>
    </row>
    <row r="513" spans="1:3">
      <c r="A513" s="42" t="s">
        <v>224</v>
      </c>
      <c r="C513" s="42" t="s">
        <v>857</v>
      </c>
    </row>
    <row r="514" spans="1:3">
      <c r="A514" s="42" t="s">
        <v>704</v>
      </c>
      <c r="C514" s="42" t="s">
        <v>789</v>
      </c>
    </row>
    <row r="515" spans="1:3">
      <c r="A515" s="42" t="s">
        <v>235</v>
      </c>
      <c r="C515" s="42" t="s">
        <v>857</v>
      </c>
    </row>
    <row r="516" spans="1:3">
      <c r="A516" s="42" t="s">
        <v>762</v>
      </c>
      <c r="C516" s="42" t="s">
        <v>789</v>
      </c>
    </row>
    <row r="517" spans="1:3">
      <c r="A517" s="42" t="s">
        <v>761</v>
      </c>
      <c r="C517" s="42" t="s">
        <v>789</v>
      </c>
    </row>
    <row r="518" spans="1:3">
      <c r="A518" s="42" t="s">
        <v>568</v>
      </c>
      <c r="C518" s="42" t="s">
        <v>848</v>
      </c>
    </row>
    <row r="519" spans="1:3">
      <c r="A519" s="42" t="s">
        <v>720</v>
      </c>
      <c r="C519" s="42" t="s">
        <v>789</v>
      </c>
    </row>
    <row r="520" spans="1:3">
      <c r="A520" s="42" t="s">
        <v>719</v>
      </c>
      <c r="C520" s="42" t="s">
        <v>789</v>
      </c>
    </row>
    <row r="521" spans="1:3">
      <c r="A521" s="42" t="s">
        <v>1001</v>
      </c>
      <c r="C521" s="42" t="s">
        <v>818</v>
      </c>
    </row>
    <row r="522" spans="1:3">
      <c r="A522" s="42" t="s">
        <v>1002</v>
      </c>
      <c r="C522" s="42" t="s">
        <v>865</v>
      </c>
    </row>
    <row r="523" spans="1:3">
      <c r="A523" s="42" t="s">
        <v>1003</v>
      </c>
      <c r="C523" s="42" t="s">
        <v>865</v>
      </c>
    </row>
    <row r="524" spans="1:3">
      <c r="A524" s="42" t="s">
        <v>232</v>
      </c>
      <c r="C524" s="42" t="s">
        <v>857</v>
      </c>
    </row>
    <row r="525" spans="1:3">
      <c r="A525" s="42" t="s">
        <v>230</v>
      </c>
      <c r="C525" s="42" t="s">
        <v>857</v>
      </c>
    </row>
    <row r="526" spans="1:3">
      <c r="A526" s="42" t="s">
        <v>228</v>
      </c>
      <c r="C526" s="42" t="s">
        <v>857</v>
      </c>
    </row>
    <row r="527" spans="1:3">
      <c r="A527" s="42" t="s">
        <v>226</v>
      </c>
      <c r="C527" s="42" t="s">
        <v>857</v>
      </c>
    </row>
    <row r="528" spans="1:3">
      <c r="A528" s="42" t="s">
        <v>1004</v>
      </c>
      <c r="C528" s="42" t="s">
        <v>789</v>
      </c>
    </row>
    <row r="529" spans="1:3">
      <c r="A529" s="42" t="s">
        <v>452</v>
      </c>
      <c r="C529" s="42" t="s">
        <v>804</v>
      </c>
    </row>
    <row r="530" spans="1:3">
      <c r="A530" s="42" t="s">
        <v>451</v>
      </c>
      <c r="C530" s="42" t="s">
        <v>804</v>
      </c>
    </row>
    <row r="531" spans="1:3">
      <c r="A531" s="42" t="s">
        <v>1005</v>
      </c>
      <c r="C531" s="42" t="s">
        <v>804</v>
      </c>
    </row>
    <row r="532" spans="1:3">
      <c r="A532" s="42" t="s">
        <v>1006</v>
      </c>
      <c r="C532" s="42" t="s">
        <v>841</v>
      </c>
    </row>
    <row r="533" spans="1:3">
      <c r="A533" s="42" t="s">
        <v>1007</v>
      </c>
      <c r="C533" s="42" t="s">
        <v>841</v>
      </c>
    </row>
    <row r="534" spans="1:3">
      <c r="A534" s="42" t="s">
        <v>1008</v>
      </c>
      <c r="C534" s="42" t="s">
        <v>841</v>
      </c>
    </row>
    <row r="535" spans="1:3">
      <c r="A535" s="42" t="s">
        <v>1009</v>
      </c>
      <c r="C535" s="42" t="s">
        <v>841</v>
      </c>
    </row>
    <row r="536" spans="1:3">
      <c r="A536" s="42" t="s">
        <v>1010</v>
      </c>
      <c r="C536" s="42" t="s">
        <v>852</v>
      </c>
    </row>
    <row r="537" spans="1:3">
      <c r="A537" s="42" t="s">
        <v>1011</v>
      </c>
      <c r="C537" s="42" t="s">
        <v>804</v>
      </c>
    </row>
    <row r="538" spans="1:3">
      <c r="A538" s="42" t="s">
        <v>1012</v>
      </c>
      <c r="C538" s="42" t="s">
        <v>865</v>
      </c>
    </row>
    <row r="539" spans="1:3">
      <c r="A539" s="42" t="s">
        <v>1013</v>
      </c>
      <c r="C539" s="42" t="s">
        <v>852</v>
      </c>
    </row>
    <row r="540" spans="1:3">
      <c r="A540" s="42" t="s">
        <v>1014</v>
      </c>
      <c r="C540" s="42" t="s">
        <v>852</v>
      </c>
    </row>
    <row r="541" spans="1:3">
      <c r="A541" s="42" t="s">
        <v>1015</v>
      </c>
      <c r="C541" s="42" t="s">
        <v>789</v>
      </c>
    </row>
    <row r="542" spans="1:3">
      <c r="A542" s="42" t="s">
        <v>880</v>
      </c>
      <c r="C542" s="42" t="s">
        <v>852</v>
      </c>
    </row>
    <row r="543" spans="1:3">
      <c r="A543" s="42" t="s">
        <v>1016</v>
      </c>
      <c r="C543" s="42" t="s">
        <v>852</v>
      </c>
    </row>
    <row r="544" spans="1:3">
      <c r="A544" s="42" t="s">
        <v>1017</v>
      </c>
      <c r="C544" s="42" t="s">
        <v>804</v>
      </c>
    </row>
    <row r="545" spans="1:3">
      <c r="A545" s="42" t="s">
        <v>1018</v>
      </c>
      <c r="C545" s="42" t="s">
        <v>789</v>
      </c>
    </row>
    <row r="546" spans="1:3">
      <c r="A546" s="42" t="s">
        <v>1019</v>
      </c>
      <c r="C546" s="42" t="s">
        <v>811</v>
      </c>
    </row>
    <row r="547" spans="1:3">
      <c r="A547" s="42" t="s">
        <v>882</v>
      </c>
      <c r="C547" s="42" t="s">
        <v>804</v>
      </c>
    </row>
    <row r="548" spans="1:3">
      <c r="A548" s="42" t="s">
        <v>884</v>
      </c>
      <c r="C548" s="42" t="s">
        <v>818</v>
      </c>
    </row>
    <row r="549" spans="1:3">
      <c r="A549" s="42" t="s">
        <v>886</v>
      </c>
      <c r="C549" s="42" t="s">
        <v>818</v>
      </c>
    </row>
    <row r="550" spans="1:3">
      <c r="A550" s="42" t="s">
        <v>888</v>
      </c>
      <c r="C550" s="42" t="s">
        <v>818</v>
      </c>
    </row>
    <row r="551" spans="1:3">
      <c r="A551" s="42" t="s">
        <v>890</v>
      </c>
      <c r="C551" s="42" t="s">
        <v>818</v>
      </c>
    </row>
    <row r="552" spans="1:3">
      <c r="A552" s="42" t="s">
        <v>892</v>
      </c>
      <c r="C552" s="42" t="s">
        <v>857</v>
      </c>
    </row>
    <row r="553" spans="1:3">
      <c r="A553" s="42" t="s">
        <v>894</v>
      </c>
      <c r="C553" s="42" t="s">
        <v>857</v>
      </c>
    </row>
    <row r="554" spans="1:3">
      <c r="A554" s="42" t="s">
        <v>896</v>
      </c>
      <c r="C554" s="42" t="s">
        <v>857</v>
      </c>
    </row>
    <row r="555" spans="1:3">
      <c r="A555" s="42" t="s">
        <v>898</v>
      </c>
      <c r="C555" s="42" t="s">
        <v>818</v>
      </c>
    </row>
    <row r="556" spans="1:3">
      <c r="A556" s="42" t="s">
        <v>900</v>
      </c>
      <c r="C556" s="42" t="s">
        <v>857</v>
      </c>
    </row>
    <row r="557" spans="1:3">
      <c r="A557" s="42" t="s">
        <v>1020</v>
      </c>
      <c r="C557" s="42" t="s">
        <v>848</v>
      </c>
    </row>
    <row r="558" spans="1:3">
      <c r="A558" s="42" t="s">
        <v>902</v>
      </c>
      <c r="C558" s="42" t="s">
        <v>836</v>
      </c>
    </row>
    <row r="559" spans="1:3">
      <c r="A559" s="42" t="s">
        <v>904</v>
      </c>
      <c r="C559" s="42" t="s">
        <v>852</v>
      </c>
    </row>
    <row r="560" spans="1:3">
      <c r="A560" s="42" t="s">
        <v>905</v>
      </c>
      <c r="C560" s="42" t="s">
        <v>852</v>
      </c>
    </row>
    <row r="561" spans="1:3">
      <c r="A561" s="42" t="s">
        <v>906</v>
      </c>
      <c r="C561" s="42" t="s">
        <v>841</v>
      </c>
    </row>
    <row r="562" spans="1:3">
      <c r="A562" s="42" t="s">
        <v>975</v>
      </c>
      <c r="C562" s="42" t="s">
        <v>852</v>
      </c>
    </row>
    <row r="563" spans="1:3">
      <c r="A563" s="42" t="s">
        <v>976</v>
      </c>
      <c r="C563" s="42" t="s">
        <v>852</v>
      </c>
    </row>
    <row r="564" spans="1:3">
      <c r="A564" s="42" t="s">
        <v>978</v>
      </c>
      <c r="C564" s="42" t="s">
        <v>804</v>
      </c>
    </row>
    <row r="565" spans="1:3">
      <c r="A565" s="42" t="s">
        <v>979</v>
      </c>
      <c r="C565" s="42" t="s">
        <v>865</v>
      </c>
    </row>
    <row r="566" spans="1:3">
      <c r="A566" s="42" t="s">
        <v>1045</v>
      </c>
      <c r="C566" s="42" t="s">
        <v>804</v>
      </c>
    </row>
    <row r="567" spans="1:3">
      <c r="A567" s="42" t="s">
        <v>1046</v>
      </c>
      <c r="C567" s="42" t="s">
        <v>789</v>
      </c>
    </row>
    <row r="568" spans="1:3">
      <c r="A568" s="42" t="s">
        <v>1047</v>
      </c>
      <c r="C568" s="42" t="s">
        <v>789</v>
      </c>
    </row>
    <row r="569" spans="1:3">
      <c r="A569" s="42" t="s">
        <v>1048</v>
      </c>
      <c r="C569" s="42" t="s">
        <v>857</v>
      </c>
    </row>
    <row r="570" spans="1:3">
      <c r="A570" s="42" t="s">
        <v>1021</v>
      </c>
      <c r="C570" s="42" t="s">
        <v>852</v>
      </c>
    </row>
    <row r="571" spans="1:3">
      <c r="A571" s="42" t="s">
        <v>1022</v>
      </c>
      <c r="C571" s="42" t="s">
        <v>852</v>
      </c>
    </row>
    <row r="572" spans="1:3">
      <c r="A572" s="42" t="s">
        <v>1023</v>
      </c>
      <c r="C572" s="42" t="s">
        <v>852</v>
      </c>
    </row>
    <row r="573" spans="1:3">
      <c r="A573" s="42" t="s">
        <v>1024</v>
      </c>
      <c r="C573" s="42" t="s">
        <v>852</v>
      </c>
    </row>
    <row r="574" spans="1:3">
      <c r="A574" s="42" t="s">
        <v>1025</v>
      </c>
      <c r="C574" s="42" t="s">
        <v>852</v>
      </c>
    </row>
    <row r="575" spans="1:3">
      <c r="A575" s="42" t="s">
        <v>1026</v>
      </c>
      <c r="C575" s="42" t="s">
        <v>852</v>
      </c>
    </row>
    <row r="576" spans="1:3">
      <c r="A576" s="42" t="s">
        <v>1027</v>
      </c>
      <c r="C576" s="42" t="s">
        <v>852</v>
      </c>
    </row>
    <row r="577" spans="1:3">
      <c r="A577" s="42" t="s">
        <v>1028</v>
      </c>
      <c r="C577" s="42" t="s">
        <v>852</v>
      </c>
    </row>
    <row r="578" spans="1:3">
      <c r="A578" s="42" t="s">
        <v>1029</v>
      </c>
      <c r="C578" s="42" t="s">
        <v>848</v>
      </c>
    </row>
    <row r="579" spans="1:3">
      <c r="A579" s="42" t="s">
        <v>1049</v>
      </c>
      <c r="C579" s="42" t="s">
        <v>852</v>
      </c>
    </row>
    <row r="580" spans="1:3">
      <c r="A580" s="42" t="s">
        <v>1050</v>
      </c>
      <c r="C580" s="42" t="s">
        <v>852</v>
      </c>
    </row>
    <row r="581" spans="1:3">
      <c r="A581" s="42" t="s">
        <v>1043</v>
      </c>
      <c r="C581" s="42" t="s">
        <v>789</v>
      </c>
    </row>
    <row r="582" spans="1:3">
      <c r="A582" s="42" t="s">
        <v>1051</v>
      </c>
      <c r="C582" s="42" t="s">
        <v>848</v>
      </c>
    </row>
    <row r="583" spans="1:3">
      <c r="A583" s="42" t="s">
        <v>1059</v>
      </c>
      <c r="C583" s="42" t="s">
        <v>804</v>
      </c>
    </row>
    <row r="584" spans="1:3">
      <c r="A584" s="42" t="s">
        <v>1060</v>
      </c>
      <c r="C584" s="42" t="s">
        <v>832</v>
      </c>
    </row>
    <row r="585" spans="1:3">
      <c r="A585" s="42" t="s">
        <v>1062</v>
      </c>
      <c r="C585" s="42" t="s">
        <v>857</v>
      </c>
    </row>
    <row r="586" spans="1:3">
      <c r="A586" s="42" t="s">
        <v>1064</v>
      </c>
      <c r="C586" s="42" t="s">
        <v>865</v>
      </c>
    </row>
    <row r="587" spans="1:3">
      <c r="A587" s="42" t="s">
        <v>1066</v>
      </c>
      <c r="C587" s="42" t="s">
        <v>852</v>
      </c>
    </row>
    <row r="588" spans="1:3">
      <c r="A588" s="42" t="s">
        <v>1367</v>
      </c>
      <c r="C588" s="42" t="s">
        <v>1369</v>
      </c>
    </row>
    <row r="589" spans="1:3">
      <c r="A589" s="42" t="s">
        <v>1370</v>
      </c>
      <c r="C589" s="42" t="s">
        <v>1369</v>
      </c>
    </row>
    <row r="590" spans="1:3">
      <c r="A590" s="42" t="s">
        <v>1372</v>
      </c>
      <c r="C590" s="42" t="s">
        <v>1369</v>
      </c>
    </row>
    <row r="591" spans="1:3">
      <c r="A591" s="42" t="s">
        <v>1374</v>
      </c>
      <c r="C591" s="42" t="s">
        <v>1369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</vt:i4>
      </vt:variant>
    </vt:vector>
  </HeadingPairs>
  <TitlesOfParts>
    <vt:vector size="12" baseType="lpstr">
      <vt:lpstr>調査台帳</vt:lpstr>
      <vt:lpstr>まとめ表</vt:lpstr>
      <vt:lpstr>転売資産明細</vt:lpstr>
      <vt:lpstr>設置場所</vt:lpstr>
      <vt:lpstr>小細分類・事業部マスタ</vt:lpstr>
      <vt:lpstr>判定一覧</vt:lpstr>
      <vt:lpstr>小分類・セグメント</vt:lpstr>
      <vt:lpstr>まとめ表!Print_Area</vt:lpstr>
      <vt:lpstr>調査台帳!Print_Area</vt:lpstr>
      <vt:lpstr>調査台帳!Print_Titles</vt:lpstr>
      <vt:lpstr>転売資産明細!Print_Titles</vt:lpstr>
      <vt:lpstr>拠点名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 Umeda</dc:creator>
  <cp:lastModifiedBy>user</cp:lastModifiedBy>
  <cp:lastPrinted>2023-06-23T05:02:28Z</cp:lastPrinted>
  <dcterms:created xsi:type="dcterms:W3CDTF">2016-06-26T23:48:42Z</dcterms:created>
  <dcterms:modified xsi:type="dcterms:W3CDTF">2023-10-02T14:41:13Z</dcterms:modified>
</cp:coreProperties>
</file>